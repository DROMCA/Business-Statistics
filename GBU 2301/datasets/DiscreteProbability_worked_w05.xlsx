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744a0cafea0a387/CBU/_Teaching/AUI/Business Statistics/GBU 2301/datasets/"/>
    </mc:Choice>
  </mc:AlternateContent>
  <xr:revisionPtr revIDLastSave="175" documentId="11_D57867F77909CCC91C381A6F2BEEB95521A40A41" xr6:coauthVersionLast="47" xr6:coauthVersionMax="47" xr10:uidLastSave="{67B3FDD9-6517-419F-A731-E96D232935B7}"/>
  <bookViews>
    <workbookView xWindow="-108" yWindow="-108" windowWidth="23256" windowHeight="12456" xr2:uid="{00000000-000D-0000-FFFF-FFFF00000000}"/>
  </bookViews>
  <sheets>
    <sheet name="01 Customer Outcomes" sheetId="1" r:id="rId1"/>
    <sheet name="02 Daily Sales" sheetId="2" r:id="rId2"/>
    <sheet name="03 Uniform Vouchers" sheetId="3" r:id="rId3"/>
    <sheet name="04 Variability" sheetId="4" r:id="rId4"/>
    <sheet name="05 Sales and Profit" sheetId="5" r:id="rId5"/>
    <sheet name="06 Joint Distribution" sheetId="6" r:id="rId6"/>
    <sheet name="07 Total Sales" sheetId="7" r:id="rId7"/>
    <sheet name="08 Covariance" sheetId="8" r:id="rId8"/>
    <sheet name="09 Fund Returns" sheetId="9" r:id="rId9"/>
    <sheet name="10 Portfolio" sheetId="10" r:id="rId10"/>
  </sheets>
  <definedNames>
    <definedName name="_xlnm.Print_Area" localSheetId="0">'01 Customer Outcomes'!$A$1:$H$29</definedName>
    <definedName name="_xlnm.Print_Area" localSheetId="1">'02 Daily Sales'!$A$1:$H$48</definedName>
    <definedName name="_xlnm.Print_Area" localSheetId="2">'03 Uniform Vouchers'!$A$1:$H$21</definedName>
    <definedName name="_xlnm.Print_Area" localSheetId="3">'04 Variability'!$A$1:$H$39</definedName>
    <definedName name="_xlnm.Print_Area" localSheetId="4">'05 Sales and Profit'!$A$1:$H$32</definedName>
    <definedName name="_xlnm.Print_Area" localSheetId="5">'06 Joint Distribution'!$A$1:$H$37</definedName>
    <definedName name="_xlnm.Print_Area" localSheetId="6">'07 Total Sales'!$A$1:$H$29</definedName>
    <definedName name="_xlnm.Print_Area" localSheetId="7">'08 Covariance'!$A$1:$H$29</definedName>
    <definedName name="_xlnm.Print_Area" localSheetId="8">'09 Fund Returns'!$A$1:$H$35</definedName>
    <definedName name="_xlnm.Print_Area" localSheetId="9">'10 Portfolio'!$A$1:$H$36</definedName>
    <definedName name="_xlnm.Print_Titles" localSheetId="0">'01 Customer Outcomes'!$1:$2</definedName>
    <definedName name="_xlnm.Print_Titles" localSheetId="1">'02 Daily Sales'!$1:$2</definedName>
    <definedName name="_xlnm.Print_Titles" localSheetId="2">'03 Uniform Vouchers'!$1:$2</definedName>
    <definedName name="_xlnm.Print_Titles" localSheetId="3">'04 Variability'!$1:$2</definedName>
    <definedName name="_xlnm.Print_Titles" localSheetId="4">'05 Sales and Profit'!$1:$2</definedName>
    <definedName name="_xlnm.Print_Titles" localSheetId="5">'06 Joint Distribution'!$1:$2</definedName>
    <definedName name="_xlnm.Print_Titles" localSheetId="6">'07 Total Sales'!$1:$2</definedName>
    <definedName name="_xlnm.Print_Titles" localSheetId="7">'08 Covariance'!$1:$2</definedName>
    <definedName name="_xlnm.Print_Titles" localSheetId="8">'09 Fund Returns'!$1:$2</definedName>
    <definedName name="_xlnm.Print_Titles" localSheetId="9">'10 Portfolio'!$1:$2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0" l="1"/>
  <c r="C12" i="10"/>
  <c r="B12" i="10"/>
  <c r="A12" i="10"/>
  <c r="D11" i="10"/>
  <c r="C11" i="10"/>
  <c r="B11" i="10"/>
  <c r="A11" i="10"/>
  <c r="D10" i="10"/>
  <c r="C10" i="10"/>
  <c r="B10" i="10"/>
  <c r="A10" i="10"/>
  <c r="B6" i="10"/>
  <c r="B20" i="9"/>
  <c r="A20" i="9"/>
  <c r="B19" i="9"/>
  <c r="A19" i="9"/>
  <c r="B18" i="9"/>
  <c r="A18" i="9"/>
  <c r="C11" i="9"/>
  <c r="D20" i="9" s="1"/>
  <c r="F20" i="9" s="1"/>
  <c r="B11" i="9"/>
  <c r="C20" i="9" s="1"/>
  <c r="B8" i="9"/>
  <c r="B25" i="9" s="1"/>
  <c r="A14" i="6"/>
  <c r="A13" i="6"/>
  <c r="A12" i="6"/>
  <c r="C8" i="6"/>
  <c r="B8" i="6"/>
  <c r="D7" i="6"/>
  <c r="D6" i="6"/>
  <c r="D5" i="6"/>
  <c r="A12" i="5"/>
  <c r="C12" i="5" s="1"/>
  <c r="A11" i="5"/>
  <c r="C11" i="5" s="1"/>
  <c r="A10" i="5"/>
  <c r="C10" i="5" s="1"/>
  <c r="C11" i="4"/>
  <c r="C10" i="4"/>
  <c r="C14" i="4" s="1"/>
  <c r="B8" i="3"/>
  <c r="B13" i="3" s="1"/>
  <c r="B7" i="3"/>
  <c r="B6" i="3"/>
  <c r="B5" i="3"/>
  <c r="B8" i="2"/>
  <c r="C7" i="2" s="1"/>
  <c r="B7" i="4" s="1"/>
  <c r="D13" i="1"/>
  <c r="C13" i="1"/>
  <c r="D12" i="1"/>
  <c r="C12" i="1"/>
  <c r="D11" i="1"/>
  <c r="C11" i="1"/>
  <c r="D10" i="1"/>
  <c r="C10" i="1"/>
  <c r="E12" i="10" l="1"/>
  <c r="B20" i="10"/>
  <c r="D8" i="6"/>
  <c r="E11" i="10"/>
  <c r="E10" i="10"/>
  <c r="B10" i="3"/>
  <c r="B18" i="1"/>
  <c r="B19" i="1"/>
  <c r="B17" i="1"/>
  <c r="G20" i="9"/>
  <c r="E20" i="9"/>
  <c r="D19" i="9"/>
  <c r="F19" i="9" s="1"/>
  <c r="D18" i="9"/>
  <c r="F18" i="9" s="1"/>
  <c r="C19" i="9"/>
  <c r="C18" i="9"/>
  <c r="E7" i="4"/>
  <c r="E6" i="4"/>
  <c r="E5" i="4"/>
  <c r="C6" i="2"/>
  <c r="C5" i="2"/>
  <c r="B12" i="5"/>
  <c r="D12" i="5" s="1"/>
  <c r="B21" i="2"/>
  <c r="D7" i="2"/>
  <c r="B16" i="10" l="1"/>
  <c r="B20" i="1"/>
  <c r="B12" i="6"/>
  <c r="C13" i="6"/>
  <c r="C12" i="6"/>
  <c r="B14" i="6"/>
  <c r="C14" i="6"/>
  <c r="C10" i="8" s="1"/>
  <c r="B13" i="6"/>
  <c r="C12" i="4"/>
  <c r="C13" i="4" s="1"/>
  <c r="F11" i="10"/>
  <c r="E19" i="9"/>
  <c r="G19" i="9"/>
  <c r="E18" i="9"/>
  <c r="G18" i="9"/>
  <c r="D6" i="2"/>
  <c r="B18" i="2"/>
  <c r="B22" i="2"/>
  <c r="B11" i="5"/>
  <c r="D11" i="5" s="1"/>
  <c r="B6" i="4"/>
  <c r="D5" i="2"/>
  <c r="C8" i="2"/>
  <c r="B14" i="2"/>
  <c r="B19" i="2"/>
  <c r="B20" i="2"/>
  <c r="B10" i="5"/>
  <c r="B5" i="4"/>
  <c r="C12" i="9"/>
  <c r="F10" i="10" l="1"/>
  <c r="F12" i="10"/>
  <c r="B12" i="9"/>
  <c r="B11" i="2"/>
  <c r="D12" i="6"/>
  <c r="B15" i="6"/>
  <c r="B5" i="7"/>
  <c r="C5" i="7" s="1"/>
  <c r="C5" i="8"/>
  <c r="B7" i="7"/>
  <c r="C7" i="7" s="1"/>
  <c r="C8" i="8"/>
  <c r="C15" i="6"/>
  <c r="B20" i="6" s="1"/>
  <c r="B6" i="7"/>
  <c r="C6" i="7" s="1"/>
  <c r="C6" i="8"/>
  <c r="C7" i="8"/>
  <c r="D13" i="6"/>
  <c r="D14" i="6"/>
  <c r="C9" i="8"/>
  <c r="B21" i="6"/>
  <c r="B8" i="7"/>
  <c r="B17" i="10"/>
  <c r="B18" i="10" s="1"/>
  <c r="B13" i="9"/>
  <c r="B21" i="10"/>
  <c r="B18" i="5"/>
  <c r="D10" i="5"/>
  <c r="B15" i="5" s="1"/>
  <c r="B11" i="4"/>
  <c r="B10" i="4"/>
  <c r="B14" i="4" s="1"/>
  <c r="B22" i="10"/>
  <c r="C13" i="9"/>
  <c r="B23" i="9"/>
  <c r="B26" i="6" l="1"/>
  <c r="B15" i="2"/>
  <c r="E5" i="2"/>
  <c r="F5" i="2" s="1"/>
  <c r="E6" i="2"/>
  <c r="F6" i="2" s="1"/>
  <c r="B20" i="5"/>
  <c r="E7" i="2"/>
  <c r="F7" i="2" s="1"/>
  <c r="B22" i="6"/>
  <c r="B24" i="6"/>
  <c r="D15" i="6"/>
  <c r="B19" i="6"/>
  <c r="C8" i="7"/>
  <c r="B12" i="7" s="1"/>
  <c r="B9" i="7"/>
  <c r="E11" i="5"/>
  <c r="F11" i="5" s="1"/>
  <c r="E12" i="5"/>
  <c r="F12" i="5" s="1"/>
  <c r="E10" i="5"/>
  <c r="F10" i="5" s="1"/>
  <c r="D5" i="4"/>
  <c r="D7" i="4"/>
  <c r="D6" i="4"/>
  <c r="B23" i="10"/>
  <c r="B24" i="10" s="1"/>
  <c r="B25" i="10" s="1"/>
  <c r="B24" i="9"/>
  <c r="B26" i="10"/>
  <c r="B12" i="2" l="1"/>
  <c r="B15" i="8"/>
  <c r="B27" i="6"/>
  <c r="B18" i="8" s="1"/>
  <c r="B25" i="6"/>
  <c r="B14" i="8"/>
  <c r="B16" i="7"/>
  <c r="D5" i="7"/>
  <c r="E5" i="7" s="1"/>
  <c r="D7" i="7"/>
  <c r="E7" i="7" s="1"/>
  <c r="D8" i="7"/>
  <c r="E8" i="7" s="1"/>
  <c r="D6" i="7"/>
  <c r="E6" i="7" s="1"/>
  <c r="B16" i="5"/>
  <c r="B17" i="5" s="1"/>
  <c r="B12" i="4"/>
  <c r="B13" i="4" s="1"/>
  <c r="B13" i="7" l="1"/>
  <c r="B14" i="7" s="1"/>
  <c r="B13" i="2"/>
  <c r="B22" i="5" s="1"/>
  <c r="B21" i="5"/>
  <c r="E9" i="8"/>
  <c r="E8" i="8"/>
  <c r="E7" i="8"/>
  <c r="E6" i="8"/>
  <c r="E5" i="8"/>
  <c r="E10" i="8"/>
  <c r="B17" i="8"/>
  <c r="B17" i="7"/>
  <c r="D9" i="8"/>
  <c r="D5" i="8"/>
  <c r="D6" i="8"/>
  <c r="D7" i="8"/>
  <c r="D8" i="8"/>
  <c r="D10" i="8"/>
  <c r="F10" i="8" s="1"/>
  <c r="F5" i="8" l="1"/>
  <c r="F6" i="8"/>
  <c r="F9" i="8"/>
  <c r="F7" i="8"/>
  <c r="F8" i="8"/>
  <c r="B18" i="7"/>
  <c r="B19" i="7" s="1"/>
  <c r="B20" i="8" s="1"/>
  <c r="B16" i="8" l="1"/>
  <c r="B19" i="8" s="1"/>
</calcChain>
</file>

<file path=xl/sharedStrings.xml><?xml version="1.0" encoding="utf-8"?>
<sst xmlns="http://schemas.openxmlformats.org/spreadsheetml/2006/main" count="262" uniqueCount="211">
  <si>
    <t>Week 5: Random Variables and Customer Outcomes</t>
  </si>
  <si>
    <t>Source: Week 5 lecture, slides 3-8. Inputs are entered directly; calculated cells contain formulas.</t>
  </si>
  <si>
    <t>Input</t>
  </si>
  <si>
    <t>Value</t>
  </si>
  <si>
    <t>Purchase probability per customer</t>
  </si>
  <si>
    <t>Code each decision as 1 = purchase, 0 = no purchase. The two customers decide independently.</t>
  </si>
  <si>
    <t>Customer 1</t>
  </si>
  <si>
    <t>Customer 2</t>
  </si>
  <si>
    <t>Purchases X</t>
  </si>
  <si>
    <t>Outcome probability</t>
  </si>
  <si>
    <t>Purchases x</t>
  </si>
  <si>
    <t>f(x)</t>
  </si>
  <si>
    <t>Total probability</t>
  </si>
  <si>
    <t>Four decision outcomes produce only three purchase counts. The probability of one purchase combines two outcomes.</t>
  </si>
  <si>
    <t>How to recreate this output in Excel</t>
  </si>
  <si>
    <t>1. Enter 0.40 in B5. A probability of 40% is entered as 0.40, not 40.</t>
  </si>
  <si>
    <t>2. Enter the four 0/1 decision pairs in A10:B13. In C10 enter =A10+B10 and fill down to C13.</t>
  </si>
  <si>
    <t>3. In D10 enter =IF(A10=1,$B$5,1-$B$5)*IF(B10=1,$B$5,1-$B$5). Fill down to D13. The $ signs keep B5 fixed.</t>
  </si>
  <si>
    <t>4. Enter 0, 1 and 2 in A17:A19. In B17 enter =SUMIF($C$10:$C$13,A17,$D$10:$D$13) and fill down.</t>
  </si>
  <si>
    <t>5. In B20 enter =SUM(B17:B19). It must equal 1. Change B5 to see how the distribution changes.</t>
  </si>
  <si>
    <t>Week 5: Daily Sales Distribution and Measures</t>
  </si>
  <si>
    <t>Source: Week 5 lecture, slides 9-11, 15-16, 20. Inputs are entered directly; calculated cells contain formulas.</t>
  </si>
  <si>
    <t>Tablets sold x</t>
  </si>
  <si>
    <t>Days</t>
  </si>
  <si>
    <t>Probability f(x)</t>
  </si>
  <si>
    <t>x f(x)</t>
  </si>
  <si>
    <t>(x - mean)^2</t>
  </si>
  <si>
    <t>Weighted square</t>
  </si>
  <si>
    <t>Total</t>
  </si>
  <si>
    <t>Measure</t>
  </si>
  <si>
    <t>Result</t>
  </si>
  <si>
    <t>Expected sales</t>
  </si>
  <si>
    <t>Variance</t>
  </si>
  <si>
    <t>Standard deviation</t>
  </si>
  <si>
    <t>E(X^2)</t>
  </si>
  <si>
    <t>Variance check</t>
  </si>
  <si>
    <t>Event</t>
  </si>
  <si>
    <t>Probability</t>
  </si>
  <si>
    <t>Exactly one</t>
  </si>
  <si>
    <t>At most one</t>
  </si>
  <si>
    <t>At least one</t>
  </si>
  <si>
    <t>More than one</t>
  </si>
  <si>
    <t>One to two, inclusive</t>
  </si>
  <si>
    <t>Expected sales and SD are in tablets; variance is in tablets squared. This is a probability-weighted distribution calculation, not VAR.S.</t>
  </si>
  <si>
    <t>1. Enter sales values in A5:A7 and observed day counts in B5:B7. In B8 enter =SUM(B5:B7); keep this total positive.</t>
  </si>
  <si>
    <t>2. In C5 enter =B5/$B$8 and fill down. In C8 enter =SUM(C5:C7); the result must be 1.</t>
  </si>
  <si>
    <t>3. In D5 enter =A5*C5 and fill down. In B11 enter =SUM(D5:D7) to obtain expected sales.</t>
  </si>
  <si>
    <t>4. In E5 enter =(A5-$B$11)^2. In F5 enter =E5*C5. Fill both down. In B12 enter =SUM(F5:F7); in B13 enter =SQRT(B12).</t>
  </si>
  <si>
    <t>5. In B14 enter =SUMPRODUCT(A5:A7,A5:A7,C5:C7), then =B14-B11^2 in B15. It must match B12.</t>
  </si>
  <si>
    <t>6. Use =C6 for exactly one, =SUM(C5:C6) for at most one, =1-C5 for at least one and =C7 for more than one.</t>
  </si>
  <si>
    <t>7. Select A4:A7 and, holding Ctrl, C4:C7. Choose Insert &gt; Column Chart &gt; Clustered Column. Add data labels and use a zero-based probability axis.</t>
  </si>
  <si>
    <t>Week 5: Discrete Uniform Distribution</t>
  </si>
  <si>
    <t>Source: Week 5 lecture, slides 12. Inputs are entered directly; calculated cells contain formulas.</t>
  </si>
  <si>
    <t>Voucher value (MAD)</t>
  </si>
  <si>
    <t>Minimum voucher value</t>
  </si>
  <si>
    <t>P(value &gt;= minimum)</t>
  </si>
  <si>
    <t>Each of the four vouchers is equally likely. Merely listing four values does not establish this assumption.</t>
  </si>
  <si>
    <t>1. Enter the four voucher values in A5:A8.</t>
  </si>
  <si>
    <t>2. In B5 enter =1/COUNT($A$5:$A$8) and fill down to B8. This formula uses the stated equal-probability assumption.</t>
  </si>
  <si>
    <t>3. In B10 enter =SUM(B5:B8) and check that it equals 1.</t>
  </si>
  <si>
    <t>4. Enter the minimum value in B12. In B13 enter =SUMIF(A5:A8,"&gt;="&amp;B12,B5:B8). Change B12 to calculate another threshold probability.</t>
  </si>
  <si>
    <t>Week 5: Same Mean, Different Variability</t>
  </si>
  <si>
    <t>Source: Week 5 lecture, slides 17. Inputs are entered directly; calculated cells contain formulas.</t>
  </si>
  <si>
    <t>Distribution A</t>
  </si>
  <si>
    <t>Distribution B</t>
  </si>
  <si>
    <t>A weighted square</t>
  </si>
  <si>
    <t>B weighted square</t>
  </si>
  <si>
    <t>Probability sum</t>
  </si>
  <si>
    <t>Expected value</t>
  </si>
  <si>
    <t>Probability check</t>
  </si>
  <si>
    <t>Both means are 1.10. B puts more probability on 0 and 2, producing the larger variance. Keep probabilities nonnegative and summing to 1.</t>
  </si>
  <si>
    <t>1. Use the sales values in A5:A7. Distribution A links to the earlier sales sheet. Enter B probabilities 0.40, 0.10 and 0.50 in C5:C7.</t>
  </si>
  <si>
    <t>2. Calculate each probability sum with SUM. For the means, use =SUMPRODUCT(A5:A7,B5:B7) and =SUMPRODUCT(A5:A7,C5:C7).</t>
  </si>
  <si>
    <t>3. In D5 enter =(A5-$B$11)^2*B5. In E5 enter =(A5-$C$11)^2*C5. Fill down to row 7.</t>
  </si>
  <si>
    <t>4. Sum D5:D7 and E5:E7 to obtain the variances. Apply SQRT to obtain each SD.</t>
  </si>
  <si>
    <t>5. Select A4:C7, then Insert &gt; Column Chart &gt; Clustered Column. Keep the probability axis starting at zero.</t>
  </si>
  <si>
    <t>6. Change C5:C7 while retaining a total of 1. Compare both the mean and SD, rather than only the tallest bar.</t>
  </si>
  <si>
    <t>Week 5: From Sales to Profit</t>
  </si>
  <si>
    <t>Source: Week 5 lecture, slides 21-22. Inputs are entered directly; calculated cells contain formulas.</t>
  </si>
  <si>
    <t>MAD</t>
  </si>
  <si>
    <t>Net amount per tablet</t>
  </si>
  <si>
    <t>Fixed daily operating cost</t>
  </si>
  <si>
    <t>Profit Y</t>
  </si>
  <si>
    <t>Y f(x)</t>
  </si>
  <si>
    <t>Y - mean</t>
  </si>
  <si>
    <t>Expected profit (MAD)</t>
  </si>
  <si>
    <t>Variance (MAD squared)</t>
  </si>
  <si>
    <t>SD (MAD)</t>
  </si>
  <si>
    <t>Probability of a loss</t>
  </si>
  <si>
    <t>Mean: transformation check</t>
  </si>
  <si>
    <t>Variance: transformation check</t>
  </si>
  <si>
    <t>SD: transformation check</t>
  </si>
  <si>
    <t>Y = aX - cost. Fixed cost changes expected profit, not its variance. The coefficient a scales SD by ABS(a) and variance by a squared.</t>
  </si>
  <si>
    <t>1. Enter 80 in B5 and 120 in B6. Link A10:B12 to the sales values and probabilities on 02 Daily Sales.</t>
  </si>
  <si>
    <t>2. In C10 enter =$B$5*A10-$B$6. In D10 enter =C10*B10. Fill both formulas down through row 12.</t>
  </si>
  <si>
    <t>3. In B15 enter =SUM(D10:D12). In E10 enter =C10-$B$15 and in F10 enter =E10^2*B10. Fill down.</t>
  </si>
  <si>
    <t>4. Enter =SUM(F10:F12) in B16 and =SQRT(B16) in B17. In B18 use =SUMIF(C10:C12,"&lt;0",B10:B12).</t>
  </si>
  <si>
    <t>5. Check the mean using coefficient times E(X) minus fixed cost. Check variance with coefficient squared times Var(X), not VAR.S on three profit values.</t>
  </si>
  <si>
    <t>6. Change only B6: expected profit changes while variance and SD remain unchanged. Change B5 to see the scaling effect.</t>
  </si>
  <si>
    <t>Week 5: Joint and Marginal Distributions</t>
  </si>
  <si>
    <t>Source: Week 5 lecture, slides 25-28. Inputs are entered directly; calculated cells contain formulas.</t>
  </si>
  <si>
    <t>North sales x</t>
  </si>
  <si>
    <t>South y=0: days</t>
  </si>
  <si>
    <t>South y=1: days</t>
  </si>
  <si>
    <t>Total days</t>
  </si>
  <si>
    <t>South y=0</t>
  </si>
  <si>
    <t>South y=1</t>
  </si>
  <si>
    <t>North marginal</t>
  </si>
  <si>
    <t>South marginal</t>
  </si>
  <si>
    <t>Quantity</t>
  </si>
  <si>
    <t>P(Y=1 | X=2)</t>
  </si>
  <si>
    <t>P(Y=1)</t>
  </si>
  <si>
    <t>P(X=2, Y=1)</t>
  </si>
  <si>
    <t>P(X=2) times P(Y=1)</t>
  </si>
  <si>
    <t>North mean</t>
  </si>
  <si>
    <t>North variance</t>
  </si>
  <si>
    <t>South mean</t>
  </si>
  <si>
    <t>South variance</t>
  </si>
  <si>
    <t>The joint probability and product of marginals differ, so the variables are not independent. Keep total days and the conditioning row total positive.</t>
  </si>
  <si>
    <t>1. Enter the six observed counts in B5:C7. Sum each row in D5:D7 and each column in row 8.</t>
  </si>
  <si>
    <t>2. In B12 enter =B5/$D$8. Fill across to C12, then down to row 14. The denominator is the total number of days.</t>
  </si>
  <si>
    <t>3. Sum across each joint-probability row for the North marginal in D12:D14. Sum each column in row 15 for the South marginal.</t>
  </si>
  <si>
    <t>4. Use =C14/D14 for P(Y=1 given X=2). Compare it with =C15, the unconditional probability.</t>
  </si>
  <si>
    <t>5. Compare =C14 with =D14*C15. One unequal pair is sufficient to rule out independence.</t>
  </si>
  <si>
    <t>6. Use SUMPRODUCT of the North values and their marginal probabilities for its mean. For variance, use E(X^2)-E(X)^2; use the South probabilities for its measures.</t>
  </si>
  <si>
    <t>Week 5: Distribution of Total Sales</t>
  </si>
  <si>
    <t>Source: Week 5 lecture, slides 29-30, 32. Inputs are entered directly; calculated cells contain formulas.</t>
  </si>
  <si>
    <t>Total s = X + Y</t>
  </si>
  <si>
    <t>P(S=s)</t>
  </si>
  <si>
    <t>s P(S=s)</t>
  </si>
  <si>
    <t>s - mean</t>
  </si>
  <si>
    <t>Expected total sales</t>
  </si>
  <si>
    <t>Sum of outlet means</t>
  </si>
  <si>
    <t>Sum of outlet variances</t>
  </si>
  <si>
    <t>Difference in variances</t>
  </si>
  <si>
    <t>Covariance from identity</t>
  </si>
  <si>
    <t>For S=1, combine (0,1) and (1,0); for S=2, combine (1,1) and (2,0). Means add without independence. Variances also require twice the covariance.</t>
  </si>
  <si>
    <t>1. Enter totals 0, 1, 2 and 3 in A5:A8. For each total, add the appropriate cells from the joint probability table on 06 Joint Distribution.</t>
  </si>
  <si>
    <t>2. In C5 enter =A5*B5 and fill down. In B12 enter =SUM(C5:C8).</t>
  </si>
  <si>
    <t>3. In D5 enter =A5-$B$12. In E5 enter =D5^2*B5. Fill down to row 8.</t>
  </si>
  <si>
    <t>4. In B13 enter =SUM(E5:E8); in B14 enter =SQRT(B13).</t>
  </si>
  <si>
    <t>5. Link B16 to the sum of the marginal means and B17 to the sum of the marginal variances on 06 Joint Distribution.</t>
  </si>
  <si>
    <t>6. In B18 enter =B13-B17; in B19 enter =B18/2. The result is the covariance, checked directly on the next sheet.</t>
  </si>
  <si>
    <t>Week 5: Covariance and Correlation</t>
  </si>
  <si>
    <t>Source: Week 5 lecture, slides 31-33. Inputs are entered directly; calculated cells contain formulas.</t>
  </si>
  <si>
    <t>x</t>
  </si>
  <si>
    <t>y</t>
  </si>
  <si>
    <t>Joint probability</t>
  </si>
  <si>
    <t>x - mean X</t>
  </si>
  <si>
    <t>y - mean Y</t>
  </si>
  <si>
    <t>Weighted product</t>
  </si>
  <si>
    <t>Mean X</t>
  </si>
  <si>
    <t>Mean Y</t>
  </si>
  <si>
    <t>Covariance</t>
  </si>
  <si>
    <t>SD X</t>
  </si>
  <si>
    <t>SD Y</t>
  </si>
  <si>
    <t>Correlation</t>
  </si>
  <si>
    <t>Covariance identity check</t>
  </si>
  <si>
    <t>Do not use CORREL on the six outcome rows: their probabilities differ. Weight the deviations, then divide covariance by the two distribution SDs.</t>
  </si>
  <si>
    <t>1. List all six (x,y) pairs in A5:B10. Link C5:C10 to their joint probabilities on 06 Joint Distribution.</t>
  </si>
  <si>
    <t>2. Link B14 and B15 to the marginal means. In D5 enter =A5-$B$14 and in E5 enter =B5-$B$15. Fill down.</t>
  </si>
  <si>
    <t>3. In F5 enter =D5*E5*C5 and fill down to F10. Enter =SUM(F5:F10) in B16.</t>
  </si>
  <si>
    <t>4. Calculate the two marginal SDs in B17:B18 by applying SQRT to the marginal variances.</t>
  </si>
  <si>
    <t>5. In B19 enter =B16/(B17*B18). Correlation has no units. B20 links to the independent variance-of-a-sum check.</t>
  </si>
  <si>
    <t>Week 5: Fund Returns, Variances and Covariance</t>
  </si>
  <si>
    <t>Source: Week 5 lecture, slides 37-39. Inputs are entered directly; calculated cells contain formulas.</t>
  </si>
  <si>
    <t>Economic state</t>
  </si>
  <si>
    <t>Alpha return (%)</t>
  </si>
  <si>
    <t>Beta return (%)</t>
  </si>
  <si>
    <t>Weak</t>
  </si>
  <si>
    <t>Moderate</t>
  </si>
  <si>
    <t>Strong</t>
  </si>
  <si>
    <t>Alpha</t>
  </si>
  <si>
    <t>Beta</t>
  </si>
  <si>
    <t>Expected return (%)</t>
  </si>
  <si>
    <t>Variance (pp squared)</t>
  </si>
  <si>
    <t>SD (percentage points)</t>
  </si>
  <si>
    <t>State</t>
  </si>
  <si>
    <t>Alpha deviation</t>
  </si>
  <si>
    <t>Beta deviation</t>
  </si>
  <si>
    <t>Alpha weighted square</t>
  </si>
  <si>
    <t>Beta weighted square</t>
  </si>
  <si>
    <t>Covariance (pp squared)</t>
  </si>
  <si>
    <t>Enter return 8% as the number 8, not as 8%. Probabilities use decimals. SD is in percentage points (pp); variance and covariance use pp squared.</t>
  </si>
  <si>
    <t>1. Enter state probabilities in B5:B7 and returns in C5:D7. Use 8 for an 8% return; do not apply Excel percentage formatting to returns.</t>
  </si>
  <si>
    <t>2. In B11 enter =SUMPRODUCT(B5:B7,C5:C7); in C11 use =SUMPRODUCT(B5:B7,D5:D7).</t>
  </si>
  <si>
    <t>3. Link the states and probabilities to A18:B20. In C18 enter =C5-$B$11; in D18 enter =D5-$C$11. Fill down.</t>
  </si>
  <si>
    <t>4. In E18 enter =C18^2*B18; in F18 enter =D18^2*B18; in G18 enter =C18*D18*B18. Fill all three down.</t>
  </si>
  <si>
    <t>5. Sum E18:E20 and F18:F20 for the variances. Use SQRT for SDs. Sum G18:G20 for covariance.</t>
  </si>
  <si>
    <t>6. In B24 enter =B23/(B13*C13). Keep probabilities summing to 1 when editing the inputs.</t>
  </si>
  <si>
    <t>Week 5: A Two-Fund Portfolio</t>
  </si>
  <si>
    <t>Source: Week 5 lecture, slides 40-41. Inputs are entered directly; calculated cells contain formulas.</t>
  </si>
  <si>
    <t>Allocation</t>
  </si>
  <si>
    <t>Weight</t>
  </si>
  <si>
    <t>Alpha weight</t>
  </si>
  <si>
    <t>Beta weight</t>
  </si>
  <si>
    <t>Portfolio return (%)</t>
  </si>
  <si>
    <t>Mean formula check</t>
  </si>
  <si>
    <t>Alpha variance term</t>
  </si>
  <si>
    <t>Beta variance term</t>
  </si>
  <si>
    <t>Covariance term</t>
  </si>
  <si>
    <t>Variance formula check</t>
  </si>
  <si>
    <t>Difference: direct vs formula</t>
  </si>
  <si>
    <t>Weighted SD: not portfolio SD</t>
  </si>
  <si>
    <t>The state-by-state and portfolio-formula calculations agree. Portfolio SD is not the weighted average of individual SDs. These are hypothetical scenarios, not guaranteed returns.</t>
  </si>
  <si>
    <t>1. Enter the Alpha weight in B5 as 50% or 0.50. In B6 enter =1-B5. Keep B5 between 0 and 1.</t>
  </si>
  <si>
    <t>2. Link A10:D12 to the three state rows on 09 Fund Returns.</t>
  </si>
  <si>
    <t>3. In E10 enter =$B$5*C10+$B$6*D10 and fill down. In B16 enter =SUMPRODUCT(B10:B12,E10:E12).</t>
  </si>
  <si>
    <t>4. In F10 enter =(E10-$B$16)^2*B10 and fill down. Sum F10:F12 in B17 and use =SQRT(B17) in B18.</t>
  </si>
  <si>
    <t>5. For the variance check, multiply each fund variance by its weight squared. Add twice the product of the weights and the covariance, as shown in B21:B24.</t>
  </si>
  <si>
    <t>6. B25 must be zero apart from rounding. Change B5 and compare return and SD; do not use the weighted SD in B26 as portfolio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</si>
</sst>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0"/>
      <name val="Aptos"/>
      <family val="2"/>
    </font>
    <font>
      <b/>
      <sz val="18"/>
      <color rgb="FFFFFFFF"/>
      <name val="Aptos Display"/>
      <family val="2"/>
    </font>
    <font>
      <b/>
      <sz val="10"/>
      <color rgb="FFFFFFFF"/>
      <name val="Aptos"/>
      <family val="2"/>
    </font>
    <font>
      <b/>
      <sz val="12"/>
      <color rgb="FFFFFFFF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1F9E8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1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top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top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Daily sales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Probability</c:v>
          </c:tx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'02 Daily Sales'!$A$5:$A$7</c:f>
              <c:numCache>
                <c:formatCode>0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'02 Daily Sales'!$C$5:$C$7</c:f>
              <c:numCache>
                <c:formatCode>0.0000</c:formatCode>
                <c:ptCount val="3"/>
                <c:pt idx="0">
                  <c:v>0.2</c:v>
                </c:pt>
                <c:pt idx="1">
                  <c:v>0.5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81-4A1E-BDE8-898570DE2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1011839"/>
        <c:axId val="669911439"/>
      </c:barChart>
      <c:catAx>
        <c:axId val="1001011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Units sold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669911439"/>
        <c:crosses val="autoZero"/>
        <c:auto val="1"/>
        <c:lblAlgn val="ctr"/>
        <c:lblOffset val="100"/>
        <c:noMultiLvlLbl val="0"/>
      </c:catAx>
      <c:valAx>
        <c:axId val="669911439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Probability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001011839"/>
        <c:crosses val="autoZero"/>
        <c:crossBetween val="between"/>
        <c:majorUnit val="0.1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Same mean, different variability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Distribution A</c:v>
          </c:tx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'04 Variability'!$A$5:$A$7</c:f>
              <c:numCache>
                <c:formatCode>0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'04 Variability'!$B$5:$B$7</c:f>
              <c:numCache>
                <c:formatCode>0.0000</c:formatCode>
                <c:ptCount val="3"/>
                <c:pt idx="0">
                  <c:v>0.2</c:v>
                </c:pt>
                <c:pt idx="1">
                  <c:v>0.5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42-41AA-A19D-B07F75B65761}"/>
            </c:ext>
          </c:extLst>
        </c:ser>
        <c:ser>
          <c:idx val="1"/>
          <c:order val="1"/>
          <c:tx>
            <c:v>Distribution B</c:v>
          </c:tx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'04 Variability'!$A$5:$A$7</c:f>
              <c:numCache>
                <c:formatCode>0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'04 Variability'!$C$5:$C$7</c:f>
              <c:numCache>
                <c:formatCode>0.00</c:formatCode>
                <c:ptCount val="3"/>
                <c:pt idx="0">
                  <c:v>0.4</c:v>
                </c:pt>
                <c:pt idx="1">
                  <c:v>0.1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42-41AA-A19D-B07F75B65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899087"/>
        <c:axId val="669939279"/>
      </c:barChart>
      <c:catAx>
        <c:axId val="1000899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Units sold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669939279"/>
        <c:crosses val="autoZero"/>
        <c:auto val="1"/>
        <c:lblAlgn val="ctr"/>
        <c:lblOffset val="100"/>
        <c:noMultiLvlLbl val="0"/>
      </c:catAx>
      <c:valAx>
        <c:axId val="669939279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Probability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000899087"/>
        <c:crosses val="autoZero"/>
        <c:crossBetween val="between"/>
        <c:majorUnit val="0.1"/>
      </c:valAx>
    </c:plotArea>
    <c:legend>
      <c:legendPos val="b"/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5</xdr:col>
      <xdr:colOff>1290320</xdr:colOff>
      <xdr:row>39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7FBEEF-EBF1-8F4B-D2DC-78E9D497E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5</xdr:col>
      <xdr:colOff>124460</xdr:colOff>
      <xdr:row>31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3E9F4-68A5-E152-F57A-8A2B336F1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2" width="24" customWidth="1"/>
    <col min="3" max="3" width="21" customWidth="1"/>
    <col min="4" max="4" width="28" customWidth="1"/>
    <col min="5" max="5" width="26" customWidth="1"/>
    <col min="6" max="8" width="3" customWidth="1"/>
  </cols>
  <sheetData>
    <row r="1" spans="1:8" ht="31.9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</row>
    <row r="2" spans="1:8" ht="24" customHeight="1" x14ac:dyDescent="0.3">
      <c r="A2" s="18" t="s">
        <v>1</v>
      </c>
      <c r="B2" s="19"/>
      <c r="C2" s="19"/>
      <c r="D2" s="19"/>
      <c r="E2" s="19"/>
      <c r="F2" s="19"/>
      <c r="G2" s="19"/>
      <c r="H2" s="19"/>
    </row>
    <row r="4" spans="1:8" ht="31.95" customHeight="1" x14ac:dyDescent="0.3">
      <c r="A4" s="1" t="s">
        <v>2</v>
      </c>
      <c r="B4" s="1" t="s">
        <v>3</v>
      </c>
    </row>
    <row r="5" spans="1:8" ht="22.05" customHeight="1" x14ac:dyDescent="0.3">
      <c r="A5" s="2" t="s">
        <v>4</v>
      </c>
      <c r="B5" s="3">
        <v>0.4</v>
      </c>
    </row>
    <row r="7" spans="1:8" ht="24" customHeight="1" x14ac:dyDescent="0.3">
      <c r="A7" s="18" t="s">
        <v>5</v>
      </c>
      <c r="B7" s="19"/>
      <c r="C7" s="19"/>
      <c r="D7" s="19"/>
      <c r="E7" s="19"/>
      <c r="F7" s="19"/>
      <c r="G7" s="19"/>
      <c r="H7" s="19"/>
    </row>
    <row r="9" spans="1:8" ht="31.95" customHeight="1" x14ac:dyDescent="0.3">
      <c r="A9" s="1" t="s">
        <v>6</v>
      </c>
      <c r="B9" s="1" t="s">
        <v>7</v>
      </c>
      <c r="C9" s="1" t="s">
        <v>8</v>
      </c>
      <c r="D9" s="1" t="s">
        <v>9</v>
      </c>
      <c r="E9" s="1"/>
    </row>
    <row r="10" spans="1:8" ht="22.05" customHeight="1" x14ac:dyDescent="0.3">
      <c r="A10" s="4">
        <v>0</v>
      </c>
      <c r="B10" s="4">
        <v>0</v>
      </c>
      <c r="C10" s="4">
        <f>A10+B10</f>
        <v>0</v>
      </c>
      <c r="D10" s="5">
        <f>IF(A10=1,$B$5,1-$B$5)*IF(B10=1,$B$5,1-$B$5)</f>
        <v>0.36</v>
      </c>
    </row>
    <row r="11" spans="1:8" ht="22.05" customHeight="1" x14ac:dyDescent="0.3">
      <c r="A11" s="6">
        <v>1</v>
      </c>
      <c r="B11" s="6">
        <v>0</v>
      </c>
      <c r="C11" s="6">
        <f>A11+B11</f>
        <v>1</v>
      </c>
      <c r="D11" s="7">
        <f>IF(A11=1,$B$5,1-$B$5)*IF(B11=1,$B$5,1-$B$5)</f>
        <v>0.24</v>
      </c>
    </row>
    <row r="12" spans="1:8" ht="22.05" customHeight="1" x14ac:dyDescent="0.3">
      <c r="A12" s="4">
        <v>0</v>
      </c>
      <c r="B12" s="4">
        <v>1</v>
      </c>
      <c r="C12" s="4">
        <f>A12+B12</f>
        <v>1</v>
      </c>
      <c r="D12" s="5">
        <f>IF(A12=1,$B$5,1-$B$5)*IF(B12=1,$B$5,1-$B$5)</f>
        <v>0.24</v>
      </c>
    </row>
    <row r="13" spans="1:8" ht="22.05" customHeight="1" x14ac:dyDescent="0.3">
      <c r="A13" s="6">
        <v>1</v>
      </c>
      <c r="B13" s="6">
        <v>1</v>
      </c>
      <c r="C13" s="6">
        <f>A13+B13</f>
        <v>2</v>
      </c>
      <c r="D13" s="7">
        <f>IF(A13=1,$B$5,1-$B$5)*IF(B13=1,$B$5,1-$B$5)</f>
        <v>0.16000000000000003</v>
      </c>
    </row>
    <row r="16" spans="1:8" ht="31.95" customHeight="1" x14ac:dyDescent="0.3">
      <c r="A16" s="1" t="s">
        <v>10</v>
      </c>
      <c r="B16" s="1" t="s">
        <v>11</v>
      </c>
    </row>
    <row r="17" spans="1:8" ht="22.05" customHeight="1" x14ac:dyDescent="0.3">
      <c r="A17" s="6">
        <v>0</v>
      </c>
      <c r="B17" s="7">
        <f>SUMIF($C$10:$C$13,A17,$D$10:$D$13)</f>
        <v>0.36</v>
      </c>
    </row>
    <row r="18" spans="1:8" ht="22.05" customHeight="1" x14ac:dyDescent="0.3">
      <c r="A18" s="4">
        <v>1</v>
      </c>
      <c r="B18" s="5">
        <f>SUMIF($C$10:$C$13,A18,$D$10:$D$13)</f>
        <v>0.48</v>
      </c>
    </row>
    <row r="19" spans="1:8" ht="22.05" customHeight="1" x14ac:dyDescent="0.3">
      <c r="A19" s="6">
        <v>2</v>
      </c>
      <c r="B19" s="7">
        <f>SUMIF($C$10:$C$13,A19,$D$10:$D$13)</f>
        <v>0.16000000000000003</v>
      </c>
    </row>
    <row r="20" spans="1:8" ht="22.05" customHeight="1" x14ac:dyDescent="0.3">
      <c r="A20" s="8" t="s">
        <v>12</v>
      </c>
      <c r="B20" s="5">
        <f>SUM(B17:B19)</f>
        <v>1</v>
      </c>
    </row>
    <row r="22" spans="1:8" ht="24" customHeight="1" x14ac:dyDescent="0.3">
      <c r="A22" s="18" t="s">
        <v>13</v>
      </c>
      <c r="B22" s="19"/>
      <c r="C22" s="19"/>
      <c r="D22" s="19"/>
      <c r="E22" s="19"/>
      <c r="F22" s="19"/>
      <c r="G22" s="19"/>
      <c r="H22" s="19"/>
    </row>
    <row r="24" spans="1:8" ht="25.95" customHeight="1" x14ac:dyDescent="0.3">
      <c r="A24" s="22" t="s">
        <v>14</v>
      </c>
      <c r="B24" s="23"/>
      <c r="C24" s="23"/>
      <c r="D24" s="23"/>
      <c r="E24" s="23"/>
      <c r="F24" s="23"/>
      <c r="G24" s="23"/>
      <c r="H24" s="23"/>
    </row>
    <row r="25" spans="1:8" ht="24" customHeight="1" x14ac:dyDescent="0.3">
      <c r="A25" s="16" t="s">
        <v>15</v>
      </c>
      <c r="B25" s="17"/>
      <c r="C25" s="17"/>
      <c r="D25" s="17"/>
      <c r="E25" s="17"/>
      <c r="F25" s="17"/>
      <c r="G25" s="17"/>
      <c r="H25" s="17"/>
    </row>
    <row r="26" spans="1:8" ht="24" customHeight="1" x14ac:dyDescent="0.3">
      <c r="A26" s="20" t="s">
        <v>16</v>
      </c>
      <c r="B26" s="21"/>
      <c r="C26" s="21"/>
      <c r="D26" s="21"/>
      <c r="E26" s="21"/>
      <c r="F26" s="21"/>
      <c r="G26" s="21"/>
      <c r="H26" s="21"/>
    </row>
    <row r="27" spans="1:8" ht="24" customHeight="1" x14ac:dyDescent="0.3">
      <c r="A27" s="16" t="s">
        <v>17</v>
      </c>
      <c r="B27" s="17"/>
      <c r="C27" s="17"/>
      <c r="D27" s="17"/>
      <c r="E27" s="17"/>
      <c r="F27" s="17"/>
      <c r="G27" s="17"/>
      <c r="H27" s="17"/>
    </row>
    <row r="28" spans="1:8" ht="24" customHeight="1" x14ac:dyDescent="0.3">
      <c r="A28" s="20" t="s">
        <v>18</v>
      </c>
      <c r="B28" s="21"/>
      <c r="C28" s="21"/>
      <c r="D28" s="21"/>
      <c r="E28" s="21"/>
      <c r="F28" s="21"/>
      <c r="G28" s="21"/>
      <c r="H28" s="21"/>
    </row>
    <row r="29" spans="1:8" ht="24" customHeight="1" x14ac:dyDescent="0.3">
      <c r="A29" s="16" t="s">
        <v>19</v>
      </c>
      <c r="B29" s="17"/>
      <c r="C29" s="17"/>
      <c r="D29" s="17"/>
      <c r="E29" s="17"/>
      <c r="F29" s="17"/>
      <c r="G29" s="17"/>
      <c r="H29" s="17"/>
    </row>
  </sheetData>
  <mergeCells count="10">
    <mergeCell ref="A1:H1"/>
    <mergeCell ref="A27:H27"/>
    <mergeCell ref="A22:H22"/>
    <mergeCell ref="A26:H26"/>
    <mergeCell ref="A29:H29"/>
    <mergeCell ref="A7:H7"/>
    <mergeCell ref="A25:H25"/>
    <mergeCell ref="A24:H24"/>
    <mergeCell ref="A2:H2"/>
    <mergeCell ref="A28:H28"/>
  </mergeCells>
  <dataValidations count="1">
    <dataValidation type="decimal" showErrorMessage="1" errorTitle="Check the input" error="Enter a value between 0 and 1." sqref="B5" xr:uid="{00000000-0002-0000-0000-000000000000}">
      <formula1>0</formula1>
      <formula2>1</formula2>
    </dataValidation>
  </dataValidations>
  <pageMargins left="0.3" right="0.3" top="0.5" bottom="0.5" header="0.5" footer="0.5"/>
  <pageSetup paperSize="9" scale="98" fitToHeight="2" orientation="landscape" r:id="rId1"/>
  <rowBreaks count="1" manualBreakCount="1">
    <brk id="23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4" customWidth="1"/>
    <col min="2" max="2" width="16" customWidth="1"/>
    <col min="3" max="4" width="18" customWidth="1"/>
    <col min="5" max="5" width="20" customWidth="1"/>
    <col min="6" max="6" width="24" customWidth="1"/>
    <col min="7" max="8" width="3" customWidth="1"/>
  </cols>
  <sheetData>
    <row r="1" spans="1:8" ht="31.95" customHeight="1" x14ac:dyDescent="0.3">
      <c r="A1" s="14" t="s">
        <v>20</v>
      </c>
      <c r="B1" s="15"/>
      <c r="C1" s="15"/>
      <c r="D1" s="15"/>
      <c r="E1" s="15"/>
      <c r="F1" s="15"/>
      <c r="G1" s="15"/>
      <c r="H1" s="15"/>
    </row>
    <row r="2" spans="1:8" ht="24" customHeight="1" x14ac:dyDescent="0.3">
      <c r="A2" s="18" t="s">
        <v>21</v>
      </c>
      <c r="B2" s="19"/>
      <c r="C2" s="19"/>
      <c r="D2" s="19"/>
      <c r="E2" s="19"/>
      <c r="F2" s="19"/>
      <c r="G2" s="19"/>
      <c r="H2" s="19"/>
    </row>
    <row r="4" spans="1:8" ht="31.95" customHeight="1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</row>
    <row r="5" spans="1:8" ht="22.05" customHeight="1" x14ac:dyDescent="0.3">
      <c r="A5" s="6">
        <v>0</v>
      </c>
      <c r="B5" s="6">
        <v>20</v>
      </c>
      <c r="C5" s="7">
        <f>B5/$B$8</f>
        <v>0.2</v>
      </c>
      <c r="D5" s="7">
        <f>A5*C5</f>
        <v>0</v>
      </c>
      <c r="E5" s="7">
        <f>(A5-$B$11)^2</f>
        <v>1.2100000000000002</v>
      </c>
      <c r="F5" s="7">
        <f>E5*C5</f>
        <v>0.24200000000000005</v>
      </c>
    </row>
    <row r="6" spans="1:8" ht="22.05" customHeight="1" x14ac:dyDescent="0.3">
      <c r="A6" s="4">
        <v>1</v>
      </c>
      <c r="B6" s="4">
        <v>50</v>
      </c>
      <c r="C6" s="5">
        <f>B6/$B$8</f>
        <v>0.5</v>
      </c>
      <c r="D6" s="5">
        <f>A6*C6</f>
        <v>0.5</v>
      </c>
      <c r="E6" s="5">
        <f>(A6-$B$11)^2</f>
        <v>1.0000000000000018E-2</v>
      </c>
      <c r="F6" s="5">
        <f>E6*C6</f>
        <v>5.0000000000000088E-3</v>
      </c>
    </row>
    <row r="7" spans="1:8" ht="22.05" customHeight="1" x14ac:dyDescent="0.3">
      <c r="A7" s="6">
        <v>2</v>
      </c>
      <c r="B7" s="6">
        <v>30</v>
      </c>
      <c r="C7" s="7">
        <f>B7/$B$8</f>
        <v>0.3</v>
      </c>
      <c r="D7" s="7">
        <f>A7*C7</f>
        <v>0.6</v>
      </c>
      <c r="E7" s="7">
        <f>(A7-$B$11)^2</f>
        <v>0.80999999999999983</v>
      </c>
      <c r="F7" s="7">
        <f>E7*C7</f>
        <v>0.24299999999999994</v>
      </c>
    </row>
    <row r="8" spans="1:8" ht="22.05" customHeight="1" x14ac:dyDescent="0.3">
      <c r="A8" s="8" t="s">
        <v>28</v>
      </c>
      <c r="B8" s="4">
        <f>SUM(B5:B7)</f>
        <v>100</v>
      </c>
      <c r="C8" s="5">
        <f>SUM(C5:C7)</f>
        <v>1</v>
      </c>
    </row>
    <row r="10" spans="1:8" ht="31.95" customHeight="1" x14ac:dyDescent="0.3">
      <c r="A10" s="1" t="s">
        <v>29</v>
      </c>
      <c r="B10" s="1" t="s">
        <v>30</v>
      </c>
    </row>
    <row r="11" spans="1:8" ht="22.05" customHeight="1" x14ac:dyDescent="0.3">
      <c r="A11" s="2" t="s">
        <v>31</v>
      </c>
      <c r="B11" s="7">
        <f>SUM(D5:D7)</f>
        <v>1.1000000000000001</v>
      </c>
    </row>
    <row r="12" spans="1:8" ht="22.05" customHeight="1" x14ac:dyDescent="0.3">
      <c r="A12" s="8" t="s">
        <v>32</v>
      </c>
      <c r="B12" s="5">
        <f>SUM(F5:F7)</f>
        <v>0.49</v>
      </c>
    </row>
    <row r="13" spans="1:8" ht="22.05" customHeight="1" x14ac:dyDescent="0.3">
      <c r="A13" s="2" t="s">
        <v>33</v>
      </c>
      <c r="B13" s="7">
        <f>SQRT(B12)</f>
        <v>0.7</v>
      </c>
    </row>
    <row r="14" spans="1:8" ht="22.05" customHeight="1" x14ac:dyDescent="0.3">
      <c r="A14" s="8" t="s">
        <v>34</v>
      </c>
      <c r="B14" s="5">
        <f>SUMPRODUCT(A5:A7,A5:A7,C5:C7)</f>
        <v>1.7</v>
      </c>
    </row>
    <row r="15" spans="1:8" ht="22.05" customHeight="1" x14ac:dyDescent="0.3">
      <c r="A15" s="2" t="s">
        <v>35</v>
      </c>
      <c r="B15" s="7">
        <f>B14-B11^2</f>
        <v>0.48999999999999977</v>
      </c>
    </row>
    <row r="17" spans="1:8" ht="31.95" customHeight="1" x14ac:dyDescent="0.3">
      <c r="A17" s="1" t="s">
        <v>36</v>
      </c>
      <c r="B17" s="1" t="s">
        <v>37</v>
      </c>
    </row>
    <row r="18" spans="1:8" ht="22.05" customHeight="1" x14ac:dyDescent="0.3">
      <c r="A18" s="8" t="s">
        <v>38</v>
      </c>
      <c r="B18" s="5">
        <f>C6</f>
        <v>0.5</v>
      </c>
    </row>
    <row r="19" spans="1:8" ht="22.05" customHeight="1" x14ac:dyDescent="0.3">
      <c r="A19" s="2" t="s">
        <v>39</v>
      </c>
      <c r="B19" s="7">
        <f>SUM(C5:C6)</f>
        <v>0.7</v>
      </c>
    </row>
    <row r="20" spans="1:8" ht="22.05" customHeight="1" x14ac:dyDescent="0.3">
      <c r="A20" s="8" t="s">
        <v>40</v>
      </c>
      <c r="B20" s="5">
        <f>1-C5</f>
        <v>0.8</v>
      </c>
    </row>
    <row r="21" spans="1:8" ht="22.05" customHeight="1" x14ac:dyDescent="0.3">
      <c r="A21" s="2" t="s">
        <v>41</v>
      </c>
      <c r="B21" s="7">
        <f>C7</f>
        <v>0.3</v>
      </c>
    </row>
    <row r="22" spans="1:8" ht="22.05" customHeight="1" x14ac:dyDescent="0.3">
      <c r="A22" s="8" t="s">
        <v>42</v>
      </c>
      <c r="B22" s="5">
        <f>SUM(C6:C7)</f>
        <v>0.8</v>
      </c>
    </row>
    <row r="24" spans="1:8" ht="36" customHeight="1" x14ac:dyDescent="0.3">
      <c r="A24" s="18" t="s">
        <v>43</v>
      </c>
      <c r="B24" s="19"/>
      <c r="C24" s="19"/>
      <c r="D24" s="19"/>
      <c r="E24" s="19"/>
      <c r="F24" s="19"/>
      <c r="G24" s="19"/>
      <c r="H24" s="19"/>
    </row>
    <row r="41" spans="1:8" ht="25.95" customHeight="1" x14ac:dyDescent="0.3">
      <c r="A41" s="22" t="s">
        <v>14</v>
      </c>
      <c r="B41" s="23"/>
      <c r="C41" s="23"/>
      <c r="D41" s="23"/>
      <c r="E41" s="23"/>
      <c r="F41" s="23"/>
      <c r="G41" s="23"/>
      <c r="H41" s="23"/>
    </row>
    <row r="42" spans="1:8" ht="24" customHeight="1" x14ac:dyDescent="0.3">
      <c r="A42" s="16" t="s">
        <v>44</v>
      </c>
      <c r="B42" s="17"/>
      <c r="C42" s="17"/>
      <c r="D42" s="17"/>
      <c r="E42" s="17"/>
      <c r="F42" s="17"/>
      <c r="G42" s="17"/>
      <c r="H42" s="17"/>
    </row>
    <row r="43" spans="1:8" ht="24" customHeight="1" x14ac:dyDescent="0.3">
      <c r="A43" s="20" t="s">
        <v>45</v>
      </c>
      <c r="B43" s="21"/>
      <c r="C43" s="21"/>
      <c r="D43" s="21"/>
      <c r="E43" s="21"/>
      <c r="F43" s="21"/>
      <c r="G43" s="21"/>
      <c r="H43" s="21"/>
    </row>
    <row r="44" spans="1:8" ht="24" customHeight="1" x14ac:dyDescent="0.3">
      <c r="A44" s="16" t="s">
        <v>46</v>
      </c>
      <c r="B44" s="17"/>
      <c r="C44" s="17"/>
      <c r="D44" s="17"/>
      <c r="E44" s="17"/>
      <c r="F44" s="17"/>
      <c r="G44" s="17"/>
      <c r="H44" s="17"/>
    </row>
    <row r="45" spans="1:8" ht="24" customHeight="1" x14ac:dyDescent="0.3">
      <c r="A45" s="20" t="s">
        <v>47</v>
      </c>
      <c r="B45" s="21"/>
      <c r="C45" s="21"/>
      <c r="D45" s="21"/>
      <c r="E45" s="21"/>
      <c r="F45" s="21"/>
      <c r="G45" s="21"/>
      <c r="H45" s="21"/>
    </row>
    <row r="46" spans="1:8" ht="24" customHeight="1" x14ac:dyDescent="0.3">
      <c r="A46" s="16" t="s">
        <v>48</v>
      </c>
      <c r="B46" s="17"/>
      <c r="C46" s="17"/>
      <c r="D46" s="17"/>
      <c r="E46" s="17"/>
      <c r="F46" s="17"/>
      <c r="G46" s="17"/>
      <c r="H46" s="17"/>
    </row>
    <row r="47" spans="1:8" ht="24" customHeight="1" x14ac:dyDescent="0.3">
      <c r="A47" s="20" t="s">
        <v>49</v>
      </c>
      <c r="B47" s="21"/>
      <c r="C47" s="21"/>
      <c r="D47" s="21"/>
      <c r="E47" s="21"/>
      <c r="F47" s="21"/>
      <c r="G47" s="21"/>
      <c r="H47" s="21"/>
    </row>
    <row r="48" spans="1:8" ht="36" customHeight="1" x14ac:dyDescent="0.3">
      <c r="A48" s="16" t="s">
        <v>50</v>
      </c>
      <c r="B48" s="17"/>
      <c r="C48" s="17"/>
      <c r="D48" s="17"/>
      <c r="E48" s="17"/>
      <c r="F48" s="17"/>
      <c r="G48" s="17"/>
      <c r="H48" s="17"/>
    </row>
  </sheetData>
  <mergeCells count="11">
    <mergeCell ref="A1:H1"/>
    <mergeCell ref="A46:H46"/>
    <mergeCell ref="A45:H45"/>
    <mergeCell ref="A48:H48"/>
    <mergeCell ref="A43:H43"/>
    <mergeCell ref="A24:H24"/>
    <mergeCell ref="A2:H2"/>
    <mergeCell ref="A42:H42"/>
    <mergeCell ref="A41:H41"/>
    <mergeCell ref="A44:H44"/>
    <mergeCell ref="A47:H47"/>
  </mergeCells>
  <dataValidations count="1">
    <dataValidation type="whole" showErrorMessage="1" errorTitle="Check the input" error="Enter a value between 0 and 100000." sqref="B5:B7" xr:uid="{00000000-0002-0000-0100-000000000000}">
      <formula1>0</formula1>
      <formula2>100000</formula2>
    </dataValidation>
  </dataValidations>
  <pageMargins left="0.3" right="0.3" top="0.5" bottom="0.5" header="0.5" footer="0.5"/>
  <pageSetup paperSize="9" scale="86" fitToHeight="2" orientation="landscape" r:id="rId1"/>
  <rowBreaks count="1" manualBreakCount="1">
    <brk id="25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8" customWidth="1"/>
    <col min="2" max="4" width="22" customWidth="1"/>
    <col min="5" max="8" width="3" customWidth="1"/>
  </cols>
  <sheetData>
    <row r="1" spans="1:8" ht="31.95" customHeight="1" x14ac:dyDescent="0.3">
      <c r="A1" s="14" t="s">
        <v>51</v>
      </c>
      <c r="B1" s="15"/>
      <c r="C1" s="15"/>
      <c r="D1" s="15"/>
      <c r="E1" s="15"/>
      <c r="F1" s="15"/>
      <c r="G1" s="15"/>
      <c r="H1" s="15"/>
    </row>
    <row r="2" spans="1:8" ht="24" customHeight="1" x14ac:dyDescent="0.3">
      <c r="A2" s="18" t="s">
        <v>52</v>
      </c>
      <c r="B2" s="19"/>
      <c r="C2" s="19"/>
      <c r="D2" s="19"/>
      <c r="E2" s="19"/>
      <c r="F2" s="19"/>
      <c r="G2" s="19"/>
      <c r="H2" s="19"/>
    </row>
    <row r="4" spans="1:8" ht="31.95" customHeight="1" x14ac:dyDescent="0.3">
      <c r="A4" s="1" t="s">
        <v>53</v>
      </c>
      <c r="B4" s="1" t="s">
        <v>37</v>
      </c>
    </row>
    <row r="5" spans="1:8" ht="22.05" customHeight="1" x14ac:dyDescent="0.3">
      <c r="A5" s="3">
        <v>10</v>
      </c>
      <c r="B5" s="7">
        <f>1/COUNT($A$5:$A$8)</f>
        <v>0.25</v>
      </c>
    </row>
    <row r="6" spans="1:8" ht="22.05" customHeight="1" x14ac:dyDescent="0.3">
      <c r="A6" s="9">
        <v>20</v>
      </c>
      <c r="B6" s="5">
        <f>1/COUNT($A$5:$A$8)</f>
        <v>0.25</v>
      </c>
    </row>
    <row r="7" spans="1:8" ht="22.05" customHeight="1" x14ac:dyDescent="0.3">
      <c r="A7" s="3">
        <v>30</v>
      </c>
      <c r="B7" s="7">
        <f>1/COUNT($A$5:$A$8)</f>
        <v>0.25</v>
      </c>
    </row>
    <row r="8" spans="1:8" ht="22.05" customHeight="1" x14ac:dyDescent="0.3">
      <c r="A8" s="9">
        <v>40</v>
      </c>
      <c r="B8" s="5">
        <f>1/COUNT($A$5:$A$8)</f>
        <v>0.25</v>
      </c>
    </row>
    <row r="10" spans="1:8" ht="22.05" customHeight="1" x14ac:dyDescent="0.3">
      <c r="A10" s="8" t="s">
        <v>12</v>
      </c>
      <c r="B10" s="5">
        <f>SUM(B5:B8)</f>
        <v>1</v>
      </c>
    </row>
    <row r="12" spans="1:8" ht="22.05" customHeight="1" x14ac:dyDescent="0.3">
      <c r="A12" s="8" t="s">
        <v>54</v>
      </c>
      <c r="B12" s="9">
        <v>30</v>
      </c>
    </row>
    <row r="13" spans="1:8" ht="22.05" customHeight="1" x14ac:dyDescent="0.3">
      <c r="A13" s="2" t="s">
        <v>55</v>
      </c>
      <c r="B13" s="7">
        <f>SUMIF(A5:A8,"&gt;="&amp;B12,B5:B8)</f>
        <v>0.5</v>
      </c>
    </row>
    <row r="15" spans="1:8" ht="36" customHeight="1" x14ac:dyDescent="0.3">
      <c r="A15" s="18" t="s">
        <v>56</v>
      </c>
      <c r="B15" s="19"/>
      <c r="C15" s="19"/>
      <c r="D15" s="19"/>
      <c r="E15" s="19"/>
      <c r="F15" s="19"/>
      <c r="G15" s="19"/>
      <c r="H15" s="19"/>
    </row>
    <row r="17" spans="1:8" ht="25.95" customHeight="1" x14ac:dyDescent="0.3">
      <c r="A17" s="22" t="s">
        <v>14</v>
      </c>
      <c r="B17" s="23"/>
      <c r="C17" s="23"/>
      <c r="D17" s="23"/>
      <c r="E17" s="23"/>
      <c r="F17" s="23"/>
      <c r="G17" s="23"/>
      <c r="H17" s="23"/>
    </row>
    <row r="18" spans="1:8" ht="24" customHeight="1" x14ac:dyDescent="0.3">
      <c r="A18" s="16" t="s">
        <v>57</v>
      </c>
      <c r="B18" s="17"/>
      <c r="C18" s="17"/>
      <c r="D18" s="17"/>
      <c r="E18" s="17"/>
      <c r="F18" s="17"/>
      <c r="G18" s="17"/>
      <c r="H18" s="17"/>
    </row>
    <row r="19" spans="1:8" ht="36" customHeight="1" x14ac:dyDescent="0.3">
      <c r="A19" s="20" t="s">
        <v>58</v>
      </c>
      <c r="B19" s="21"/>
      <c r="C19" s="21"/>
      <c r="D19" s="21"/>
      <c r="E19" s="21"/>
      <c r="F19" s="21"/>
      <c r="G19" s="21"/>
      <c r="H19" s="21"/>
    </row>
    <row r="20" spans="1:8" ht="24" customHeight="1" x14ac:dyDescent="0.3">
      <c r="A20" s="16" t="s">
        <v>59</v>
      </c>
      <c r="B20" s="17"/>
      <c r="C20" s="17"/>
      <c r="D20" s="17"/>
      <c r="E20" s="17"/>
      <c r="F20" s="17"/>
      <c r="G20" s="17"/>
      <c r="H20" s="17"/>
    </row>
    <row r="21" spans="1:8" ht="36" customHeight="1" x14ac:dyDescent="0.3">
      <c r="A21" s="20" t="s">
        <v>60</v>
      </c>
      <c r="B21" s="21"/>
      <c r="C21" s="21"/>
      <c r="D21" s="21"/>
      <c r="E21" s="21"/>
      <c r="F21" s="21"/>
      <c r="G21" s="21"/>
      <c r="H21" s="21"/>
    </row>
  </sheetData>
  <mergeCells count="8">
    <mergeCell ref="A1:H1"/>
    <mergeCell ref="A17:H17"/>
    <mergeCell ref="A18:H18"/>
    <mergeCell ref="A21:H21"/>
    <mergeCell ref="A15:H15"/>
    <mergeCell ref="A20:H20"/>
    <mergeCell ref="A2:H2"/>
    <mergeCell ref="A19:H19"/>
  </mergeCells>
  <pageMargins left="0.3" right="0.3" top="0.5" bottom="0.5" header="0.5" footer="0.5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5" customWidth="1"/>
    <col min="2" max="3" width="23" customWidth="1"/>
    <col min="4" max="5" width="21" customWidth="1"/>
    <col min="6" max="8" width="3" customWidth="1"/>
  </cols>
  <sheetData>
    <row r="1" spans="1:8" ht="31.95" customHeight="1" x14ac:dyDescent="0.3">
      <c r="A1" s="14" t="s">
        <v>61</v>
      </c>
      <c r="B1" s="15"/>
      <c r="C1" s="15"/>
      <c r="D1" s="15"/>
      <c r="E1" s="15"/>
      <c r="F1" s="15"/>
      <c r="G1" s="15"/>
      <c r="H1" s="15"/>
    </row>
    <row r="2" spans="1:8" ht="24" customHeight="1" x14ac:dyDescent="0.3">
      <c r="A2" s="18" t="s">
        <v>62</v>
      </c>
      <c r="B2" s="19"/>
      <c r="C2" s="19"/>
      <c r="D2" s="19"/>
      <c r="E2" s="19"/>
      <c r="F2" s="19"/>
      <c r="G2" s="19"/>
      <c r="H2" s="19"/>
    </row>
    <row r="4" spans="1:8" ht="31.95" customHeight="1" x14ac:dyDescent="0.3">
      <c r="A4" s="1" t="s">
        <v>22</v>
      </c>
      <c r="B4" s="1" t="s">
        <v>63</v>
      </c>
      <c r="C4" s="1" t="s">
        <v>64</v>
      </c>
      <c r="D4" s="1" t="s">
        <v>65</v>
      </c>
      <c r="E4" s="1" t="s">
        <v>66</v>
      </c>
    </row>
    <row r="5" spans="1:8" ht="22.05" customHeight="1" x14ac:dyDescent="0.3">
      <c r="A5" s="6">
        <v>0</v>
      </c>
      <c r="B5" s="7">
        <f>'02 Daily Sales'!C5</f>
        <v>0.2</v>
      </c>
      <c r="C5" s="3">
        <v>0.4</v>
      </c>
      <c r="D5" s="7">
        <f>(A5-$B$11)^2*B5</f>
        <v>0.24200000000000005</v>
      </c>
      <c r="E5" s="7">
        <f>(A5-$C$11)^2*C5</f>
        <v>0.4840000000000001</v>
      </c>
    </row>
    <row r="6" spans="1:8" ht="22.05" customHeight="1" x14ac:dyDescent="0.3">
      <c r="A6" s="4">
        <v>1</v>
      </c>
      <c r="B6" s="5">
        <f>'02 Daily Sales'!C6</f>
        <v>0.5</v>
      </c>
      <c r="C6" s="9">
        <v>0.1</v>
      </c>
      <c r="D6" s="5">
        <f>(A6-$B$11)^2*B6</f>
        <v>5.0000000000000088E-3</v>
      </c>
      <c r="E6" s="5">
        <f>(A6-$C$11)^2*C6</f>
        <v>1.0000000000000018E-3</v>
      </c>
    </row>
    <row r="7" spans="1:8" ht="22.05" customHeight="1" x14ac:dyDescent="0.3">
      <c r="A7" s="6">
        <v>2</v>
      </c>
      <c r="B7" s="7">
        <f>'02 Daily Sales'!C7</f>
        <v>0.3</v>
      </c>
      <c r="C7" s="3">
        <v>0.5</v>
      </c>
      <c r="D7" s="7">
        <f>(A7-$B$11)^2*B7</f>
        <v>0.24299999999999994</v>
      </c>
      <c r="E7" s="7">
        <f>(A7-$C$11)^2*C7</f>
        <v>0.40499999999999992</v>
      </c>
    </row>
    <row r="9" spans="1:8" ht="31.95" customHeight="1" x14ac:dyDescent="0.3">
      <c r="A9" s="1" t="s">
        <v>29</v>
      </c>
      <c r="B9" s="1" t="s">
        <v>63</v>
      </c>
      <c r="C9" s="1" t="s">
        <v>64</v>
      </c>
    </row>
    <row r="10" spans="1:8" ht="22.05" customHeight="1" x14ac:dyDescent="0.3">
      <c r="A10" s="8" t="s">
        <v>67</v>
      </c>
      <c r="B10" s="5">
        <f>SUM(B5:B7)</f>
        <v>1</v>
      </c>
      <c r="C10" s="5">
        <f>SUM(C5:C7)</f>
        <v>1</v>
      </c>
    </row>
    <row r="11" spans="1:8" ht="22.05" customHeight="1" x14ac:dyDescent="0.3">
      <c r="A11" s="2" t="s">
        <v>68</v>
      </c>
      <c r="B11" s="7">
        <f>SUMPRODUCT(A5:A7,B5:B7)</f>
        <v>1.1000000000000001</v>
      </c>
      <c r="C11" s="7">
        <f>SUMPRODUCT(A5:A7,C5:C7)</f>
        <v>1.1000000000000001</v>
      </c>
    </row>
    <row r="12" spans="1:8" ht="22.05" customHeight="1" x14ac:dyDescent="0.3">
      <c r="A12" s="8" t="s">
        <v>32</v>
      </c>
      <c r="B12" s="5">
        <f>SUM(D5:D7)</f>
        <v>0.49</v>
      </c>
      <c r="C12" s="5">
        <f>SUM(E5:E7)</f>
        <v>0.89</v>
      </c>
    </row>
    <row r="13" spans="1:8" ht="22.05" customHeight="1" x14ac:dyDescent="0.3">
      <c r="A13" s="2" t="s">
        <v>33</v>
      </c>
      <c r="B13" s="7">
        <f>SQRT(B12)</f>
        <v>0.7</v>
      </c>
      <c r="C13" s="7">
        <f>SQRT(C12)</f>
        <v>0.94339811320566036</v>
      </c>
    </row>
    <row r="14" spans="1:8" ht="22.05" customHeight="1" x14ac:dyDescent="0.3">
      <c r="A14" s="8" t="s">
        <v>69</v>
      </c>
      <c r="B14" s="10" t="str">
        <f>IF(AND(ABS(B10-1)&lt;0.000000001,MIN(B5:B7)&gt;=0),"OK","Check probabilities")</f>
        <v>OK</v>
      </c>
      <c r="C14" s="10" t="str">
        <f>IF(AND(ABS(C10-1)&lt;0.000000001,MIN(C5:C7)&gt;=0),"OK","Check probabilities")</f>
        <v>OK</v>
      </c>
    </row>
    <row r="16" spans="1:8" ht="36" customHeight="1" x14ac:dyDescent="0.3">
      <c r="A16" s="18" t="s">
        <v>70</v>
      </c>
      <c r="B16" s="19"/>
      <c r="C16" s="19"/>
      <c r="D16" s="19"/>
      <c r="E16" s="19"/>
      <c r="F16" s="19"/>
      <c r="G16" s="19"/>
      <c r="H16" s="19"/>
    </row>
    <row r="33" spans="1:8" ht="25.95" customHeight="1" x14ac:dyDescent="0.3">
      <c r="A33" s="22" t="s">
        <v>14</v>
      </c>
      <c r="B33" s="23"/>
      <c r="C33" s="23"/>
      <c r="D33" s="23"/>
      <c r="E33" s="23"/>
      <c r="F33" s="23"/>
      <c r="G33" s="23"/>
      <c r="H33" s="23"/>
    </row>
    <row r="34" spans="1:8" ht="36" customHeight="1" x14ac:dyDescent="0.3">
      <c r="A34" s="16" t="s">
        <v>71</v>
      </c>
      <c r="B34" s="17"/>
      <c r="C34" s="17"/>
      <c r="D34" s="17"/>
      <c r="E34" s="17"/>
      <c r="F34" s="17"/>
      <c r="G34" s="17"/>
      <c r="H34" s="17"/>
    </row>
    <row r="35" spans="1:8" ht="24" customHeight="1" x14ac:dyDescent="0.3">
      <c r="A35" s="20" t="s">
        <v>72</v>
      </c>
      <c r="B35" s="21"/>
      <c r="C35" s="21"/>
      <c r="D35" s="21"/>
      <c r="E35" s="21"/>
      <c r="F35" s="21"/>
      <c r="G35" s="21"/>
      <c r="H35" s="21"/>
    </row>
    <row r="36" spans="1:8" ht="24" customHeight="1" x14ac:dyDescent="0.3">
      <c r="A36" s="16" t="s">
        <v>73</v>
      </c>
      <c r="B36" s="17"/>
      <c r="C36" s="17"/>
      <c r="D36" s="17"/>
      <c r="E36" s="17"/>
      <c r="F36" s="17"/>
      <c r="G36" s="17"/>
      <c r="H36" s="17"/>
    </row>
    <row r="37" spans="1:8" ht="24" customHeight="1" x14ac:dyDescent="0.3">
      <c r="A37" s="20" t="s">
        <v>74</v>
      </c>
      <c r="B37" s="21"/>
      <c r="C37" s="21"/>
      <c r="D37" s="21"/>
      <c r="E37" s="21"/>
      <c r="F37" s="21"/>
      <c r="G37" s="21"/>
      <c r="H37" s="21"/>
    </row>
    <row r="38" spans="1:8" ht="24" customHeight="1" x14ac:dyDescent="0.3">
      <c r="A38" s="16" t="s">
        <v>75</v>
      </c>
      <c r="B38" s="17"/>
      <c r="C38" s="17"/>
      <c r="D38" s="17"/>
      <c r="E38" s="17"/>
      <c r="F38" s="17"/>
      <c r="G38" s="17"/>
      <c r="H38" s="17"/>
    </row>
    <row r="39" spans="1:8" ht="24" customHeight="1" x14ac:dyDescent="0.3">
      <c r="A39" s="20" t="s">
        <v>76</v>
      </c>
      <c r="B39" s="21"/>
      <c r="C39" s="21"/>
      <c r="D39" s="21"/>
      <c r="E39" s="21"/>
      <c r="F39" s="21"/>
      <c r="G39" s="21"/>
      <c r="H39" s="21"/>
    </row>
  </sheetData>
  <mergeCells count="10">
    <mergeCell ref="A1:H1"/>
    <mergeCell ref="A37:H37"/>
    <mergeCell ref="A34:H34"/>
    <mergeCell ref="A39:H39"/>
    <mergeCell ref="A35:H35"/>
    <mergeCell ref="A38:H38"/>
    <mergeCell ref="A16:H16"/>
    <mergeCell ref="A2:H2"/>
    <mergeCell ref="A33:H33"/>
    <mergeCell ref="A36:H36"/>
  </mergeCells>
  <dataValidations count="1">
    <dataValidation type="decimal" showErrorMessage="1" errorTitle="Check the input" error="Enter a value between 0 and 1." sqref="C5:C7" xr:uid="{00000000-0002-0000-0300-000000000000}">
      <formula1>0</formula1>
      <formula2>1</formula2>
    </dataValidation>
  </dataValidations>
  <pageMargins left="0.3" right="0.3" top="0.5" bottom="0.5" header="0.5" footer="0.5"/>
  <pageSetup paperSize="9" fitToHeight="2" orientation="landscape" r:id="rId1"/>
  <rowBreaks count="1" manualBreakCount="1">
    <brk id="17" max="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6" customWidth="1"/>
    <col min="2" max="2" width="17" customWidth="1"/>
    <col min="3" max="3" width="20" customWidth="1"/>
    <col min="4" max="4" width="21" customWidth="1"/>
    <col min="5" max="6" width="22" customWidth="1"/>
    <col min="7" max="8" width="3" customWidth="1"/>
  </cols>
  <sheetData>
    <row r="1" spans="1:8" ht="31.95" customHeight="1" x14ac:dyDescent="0.3">
      <c r="A1" s="14" t="s">
        <v>77</v>
      </c>
      <c r="B1" s="15"/>
      <c r="C1" s="15"/>
      <c r="D1" s="15"/>
      <c r="E1" s="15"/>
      <c r="F1" s="15"/>
      <c r="G1" s="15"/>
      <c r="H1" s="15"/>
    </row>
    <row r="2" spans="1:8" ht="24" customHeight="1" x14ac:dyDescent="0.3">
      <c r="A2" s="18" t="s">
        <v>78</v>
      </c>
      <c r="B2" s="19"/>
      <c r="C2" s="19"/>
      <c r="D2" s="19"/>
      <c r="E2" s="19"/>
      <c r="F2" s="19"/>
      <c r="G2" s="19"/>
      <c r="H2" s="19"/>
    </row>
    <row r="4" spans="1:8" ht="31.95" customHeight="1" x14ac:dyDescent="0.3">
      <c r="A4" s="1" t="s">
        <v>2</v>
      </c>
      <c r="B4" s="1" t="s">
        <v>79</v>
      </c>
    </row>
    <row r="5" spans="1:8" ht="22.05" customHeight="1" x14ac:dyDescent="0.3">
      <c r="A5" s="2" t="s">
        <v>80</v>
      </c>
      <c r="B5" s="3">
        <v>80</v>
      </c>
    </row>
    <row r="6" spans="1:8" ht="22.05" customHeight="1" x14ac:dyDescent="0.3">
      <c r="A6" s="8" t="s">
        <v>81</v>
      </c>
      <c r="B6" s="9">
        <v>120</v>
      </c>
    </row>
    <row r="9" spans="1:8" ht="31.95" customHeight="1" x14ac:dyDescent="0.3">
      <c r="A9" s="1" t="s">
        <v>22</v>
      </c>
      <c r="B9" s="1" t="s">
        <v>37</v>
      </c>
      <c r="C9" s="1" t="s">
        <v>82</v>
      </c>
      <c r="D9" s="1" t="s">
        <v>83</v>
      </c>
      <c r="E9" s="1" t="s">
        <v>84</v>
      </c>
      <c r="F9" s="1" t="s">
        <v>27</v>
      </c>
    </row>
    <row r="10" spans="1:8" ht="22.05" customHeight="1" x14ac:dyDescent="0.3">
      <c r="A10" s="4">
        <f>'02 Daily Sales'!A5</f>
        <v>0</v>
      </c>
      <c r="B10" s="5">
        <f>'02 Daily Sales'!C5</f>
        <v>0.2</v>
      </c>
      <c r="C10" s="9">
        <f>$B$5*A10-$B$6</f>
        <v>-120</v>
      </c>
      <c r="D10" s="5">
        <f>C10*B10</f>
        <v>-24</v>
      </c>
      <c r="E10" s="5">
        <f>C10-$B$15</f>
        <v>-88</v>
      </c>
      <c r="F10" s="5">
        <f>E10^2*B10</f>
        <v>1548.8000000000002</v>
      </c>
    </row>
    <row r="11" spans="1:8" ht="22.05" customHeight="1" x14ac:dyDescent="0.3">
      <c r="A11" s="6">
        <f>'02 Daily Sales'!A6</f>
        <v>1</v>
      </c>
      <c r="B11" s="7">
        <f>'02 Daily Sales'!C6</f>
        <v>0.5</v>
      </c>
      <c r="C11" s="3">
        <f>$B$5*A11-$B$6</f>
        <v>-40</v>
      </c>
      <c r="D11" s="7">
        <f>C11*B11</f>
        <v>-20</v>
      </c>
      <c r="E11" s="7">
        <f>C11-$B$15</f>
        <v>-8</v>
      </c>
      <c r="F11" s="7">
        <f>E11^2*B11</f>
        <v>32</v>
      </c>
    </row>
    <row r="12" spans="1:8" ht="22.05" customHeight="1" x14ac:dyDescent="0.3">
      <c r="A12" s="4">
        <f>'02 Daily Sales'!A7</f>
        <v>2</v>
      </c>
      <c r="B12" s="5">
        <f>'02 Daily Sales'!C7</f>
        <v>0.3</v>
      </c>
      <c r="C12" s="9">
        <f>$B$5*A12-$B$6</f>
        <v>40</v>
      </c>
      <c r="D12" s="5">
        <f>C12*B12</f>
        <v>12</v>
      </c>
      <c r="E12" s="5">
        <f>C12-$B$15</f>
        <v>72</v>
      </c>
      <c r="F12" s="5">
        <f>E12^2*B12</f>
        <v>1555.2</v>
      </c>
    </row>
    <row r="14" spans="1:8" ht="31.95" customHeight="1" x14ac:dyDescent="0.3">
      <c r="A14" s="1" t="s">
        <v>29</v>
      </c>
      <c r="B14" s="1" t="s">
        <v>30</v>
      </c>
    </row>
    <row r="15" spans="1:8" ht="22.05" customHeight="1" x14ac:dyDescent="0.3">
      <c r="A15" s="2" t="s">
        <v>85</v>
      </c>
      <c r="B15" s="7">
        <f>SUM(D10:D12)</f>
        <v>-32</v>
      </c>
    </row>
    <row r="16" spans="1:8" ht="22.05" customHeight="1" x14ac:dyDescent="0.3">
      <c r="A16" s="8" t="s">
        <v>86</v>
      </c>
      <c r="B16" s="5">
        <f>SUM(F10:F12)</f>
        <v>3136</v>
      </c>
    </row>
    <row r="17" spans="1:8" ht="22.05" customHeight="1" x14ac:dyDescent="0.3">
      <c r="A17" s="2" t="s">
        <v>87</v>
      </c>
      <c r="B17" s="7">
        <f>SQRT(B16)</f>
        <v>56</v>
      </c>
    </row>
    <row r="18" spans="1:8" ht="22.05" customHeight="1" x14ac:dyDescent="0.3">
      <c r="A18" s="8" t="s">
        <v>88</v>
      </c>
      <c r="B18" s="5">
        <f>SUMIF(C10:C12,"&lt;0",B10:B12)</f>
        <v>0.7</v>
      </c>
    </row>
    <row r="20" spans="1:8" ht="22.05" customHeight="1" x14ac:dyDescent="0.3">
      <c r="A20" s="8" t="s">
        <v>89</v>
      </c>
      <c r="B20" s="5">
        <f>B5*'02 Daily Sales'!B11-B6</f>
        <v>-32</v>
      </c>
    </row>
    <row r="21" spans="1:8" ht="22.05" customHeight="1" x14ac:dyDescent="0.3">
      <c r="A21" s="2" t="s">
        <v>90</v>
      </c>
      <c r="B21" s="7">
        <f>B5^2*'02 Daily Sales'!B12</f>
        <v>3136</v>
      </c>
    </row>
    <row r="22" spans="1:8" ht="22.05" customHeight="1" x14ac:dyDescent="0.3">
      <c r="A22" s="8" t="s">
        <v>91</v>
      </c>
      <c r="B22" s="5">
        <f>ABS(B5)*'02 Daily Sales'!B13</f>
        <v>56</v>
      </c>
    </row>
    <row r="24" spans="1:8" ht="24" customHeight="1" x14ac:dyDescent="0.3">
      <c r="A24" s="18" t="s">
        <v>92</v>
      </c>
      <c r="B24" s="19"/>
      <c r="C24" s="19"/>
      <c r="D24" s="19"/>
      <c r="E24" s="19"/>
      <c r="F24" s="19"/>
      <c r="G24" s="19"/>
      <c r="H24" s="19"/>
    </row>
    <row r="26" spans="1:8" ht="25.95" customHeight="1" x14ac:dyDescent="0.3">
      <c r="A26" s="22" t="s">
        <v>14</v>
      </c>
      <c r="B26" s="23"/>
      <c r="C26" s="23"/>
      <c r="D26" s="23"/>
      <c r="E26" s="23"/>
      <c r="F26" s="23"/>
      <c r="G26" s="23"/>
      <c r="H26" s="23"/>
    </row>
    <row r="27" spans="1:8" ht="24" customHeight="1" x14ac:dyDescent="0.3">
      <c r="A27" s="16" t="s">
        <v>93</v>
      </c>
      <c r="B27" s="17"/>
      <c r="C27" s="17"/>
      <c r="D27" s="17"/>
      <c r="E27" s="17"/>
      <c r="F27" s="17"/>
      <c r="G27" s="17"/>
      <c r="H27" s="17"/>
    </row>
    <row r="28" spans="1:8" ht="24" customHeight="1" x14ac:dyDescent="0.3">
      <c r="A28" s="20" t="s">
        <v>94</v>
      </c>
      <c r="B28" s="21"/>
      <c r="C28" s="21"/>
      <c r="D28" s="21"/>
      <c r="E28" s="21"/>
      <c r="F28" s="21"/>
      <c r="G28" s="21"/>
      <c r="H28" s="21"/>
    </row>
    <row r="29" spans="1:8" ht="24" customHeight="1" x14ac:dyDescent="0.3">
      <c r="A29" s="16" t="s">
        <v>95</v>
      </c>
      <c r="B29" s="17"/>
      <c r="C29" s="17"/>
      <c r="D29" s="17"/>
      <c r="E29" s="17"/>
      <c r="F29" s="17"/>
      <c r="G29" s="17"/>
      <c r="H29" s="17"/>
    </row>
    <row r="30" spans="1:8" ht="24" customHeight="1" x14ac:dyDescent="0.3">
      <c r="A30" s="20" t="s">
        <v>96</v>
      </c>
      <c r="B30" s="21"/>
      <c r="C30" s="21"/>
      <c r="D30" s="21"/>
      <c r="E30" s="21"/>
      <c r="F30" s="21"/>
      <c r="G30" s="21"/>
      <c r="H30" s="21"/>
    </row>
    <row r="31" spans="1:8" ht="36" customHeight="1" x14ac:dyDescent="0.3">
      <c r="A31" s="16" t="s">
        <v>97</v>
      </c>
      <c r="B31" s="17"/>
      <c r="C31" s="17"/>
      <c r="D31" s="17"/>
      <c r="E31" s="17"/>
      <c r="F31" s="17"/>
      <c r="G31" s="17"/>
      <c r="H31" s="17"/>
    </row>
    <row r="32" spans="1:8" ht="24" customHeight="1" x14ac:dyDescent="0.3">
      <c r="A32" s="20" t="s">
        <v>98</v>
      </c>
      <c r="B32" s="21"/>
      <c r="C32" s="21"/>
      <c r="D32" s="21"/>
      <c r="E32" s="21"/>
      <c r="F32" s="21"/>
      <c r="G32" s="21"/>
      <c r="H32" s="21"/>
    </row>
  </sheetData>
  <mergeCells count="10">
    <mergeCell ref="A1:H1"/>
    <mergeCell ref="A32:H32"/>
    <mergeCell ref="A27:H27"/>
    <mergeCell ref="A31:H31"/>
    <mergeCell ref="A26:H26"/>
    <mergeCell ref="A30:H30"/>
    <mergeCell ref="A29:H29"/>
    <mergeCell ref="A24:H24"/>
    <mergeCell ref="A2:H2"/>
    <mergeCell ref="A28:H28"/>
  </mergeCells>
  <dataValidations count="1">
    <dataValidation type="decimal" showErrorMessage="1" errorTitle="Check the input" error="Enter a value between 0 and 1000000." sqref="B6" xr:uid="{00000000-0002-0000-0400-000000000000}">
      <formula1>0</formula1>
      <formula2>1000000</formula2>
    </dataValidation>
  </dataValidations>
  <pageMargins left="0.3" right="0.3" top="0.5" bottom="0.5" header="0.5" footer="0.5"/>
  <pageSetup paperSize="9" scale="90" fitToHeight="2" orientation="landscape" r:id="rId1"/>
  <rowBreaks count="1" manualBreakCount="1">
    <brk id="25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9" customWidth="1"/>
    <col min="2" max="3" width="21" customWidth="1"/>
    <col min="4" max="4" width="23" customWidth="1"/>
    <col min="5" max="8" width="3" customWidth="1"/>
  </cols>
  <sheetData>
    <row r="1" spans="1:8" ht="31.95" customHeight="1" x14ac:dyDescent="0.3">
      <c r="A1" s="14" t="s">
        <v>99</v>
      </c>
      <c r="B1" s="15"/>
      <c r="C1" s="15"/>
      <c r="D1" s="15"/>
      <c r="E1" s="15"/>
      <c r="F1" s="15"/>
      <c r="G1" s="15"/>
      <c r="H1" s="15"/>
    </row>
    <row r="2" spans="1:8" ht="24" customHeight="1" x14ac:dyDescent="0.3">
      <c r="A2" s="18" t="s">
        <v>100</v>
      </c>
      <c r="B2" s="19"/>
      <c r="C2" s="19"/>
      <c r="D2" s="19"/>
      <c r="E2" s="19"/>
      <c r="F2" s="19"/>
      <c r="G2" s="19"/>
      <c r="H2" s="19"/>
    </row>
    <row r="4" spans="1:8" ht="31.95" customHeight="1" x14ac:dyDescent="0.3">
      <c r="A4" s="1" t="s">
        <v>101</v>
      </c>
      <c r="B4" s="1" t="s">
        <v>102</v>
      </c>
      <c r="C4" s="1" t="s">
        <v>103</v>
      </c>
      <c r="D4" s="1" t="s">
        <v>104</v>
      </c>
    </row>
    <row r="5" spans="1:8" ht="22.05" customHeight="1" x14ac:dyDescent="0.3">
      <c r="A5" s="6">
        <v>0</v>
      </c>
      <c r="B5" s="6">
        <v>15</v>
      </c>
      <c r="C5" s="6">
        <v>5</v>
      </c>
      <c r="D5" s="6">
        <f>SUM(B5:C5)</f>
        <v>20</v>
      </c>
    </row>
    <row r="6" spans="1:8" ht="22.05" customHeight="1" x14ac:dyDescent="0.3">
      <c r="A6" s="4">
        <v>1</v>
      </c>
      <c r="B6" s="4">
        <v>20</v>
      </c>
      <c r="C6" s="4">
        <v>30</v>
      </c>
      <c r="D6" s="4">
        <f>SUM(B6:C6)</f>
        <v>50</v>
      </c>
    </row>
    <row r="7" spans="1:8" ht="22.05" customHeight="1" x14ac:dyDescent="0.3">
      <c r="A7" s="6">
        <v>2</v>
      </c>
      <c r="B7" s="6">
        <v>5</v>
      </c>
      <c r="C7" s="6">
        <v>25</v>
      </c>
      <c r="D7" s="6">
        <f>SUM(B7:C7)</f>
        <v>30</v>
      </c>
    </row>
    <row r="8" spans="1:8" ht="22.05" customHeight="1" x14ac:dyDescent="0.3">
      <c r="A8" s="8" t="s">
        <v>104</v>
      </c>
      <c r="B8" s="4">
        <f>SUM(B5:B7)</f>
        <v>40</v>
      </c>
      <c r="C8" s="4">
        <f>SUM(C5:C7)</f>
        <v>60</v>
      </c>
      <c r="D8" s="4">
        <f>SUM(D5:D7)</f>
        <v>100</v>
      </c>
    </row>
    <row r="11" spans="1:8" ht="31.95" customHeight="1" x14ac:dyDescent="0.3">
      <c r="A11" s="1" t="s">
        <v>101</v>
      </c>
      <c r="B11" s="1" t="s">
        <v>105</v>
      </c>
      <c r="C11" s="1" t="s">
        <v>106</v>
      </c>
      <c r="D11" s="1" t="s">
        <v>107</v>
      </c>
    </row>
    <row r="12" spans="1:8" ht="22.05" customHeight="1" x14ac:dyDescent="0.3">
      <c r="A12" s="4">
        <f>A5</f>
        <v>0</v>
      </c>
      <c r="B12" s="5">
        <f t="shared" ref="B12:C14" si="0">B5/$D$8</f>
        <v>0.15</v>
      </c>
      <c r="C12" s="5">
        <f t="shared" si="0"/>
        <v>0.05</v>
      </c>
      <c r="D12" s="5">
        <f>SUM(B12:C12)</f>
        <v>0.2</v>
      </c>
    </row>
    <row r="13" spans="1:8" ht="22.05" customHeight="1" x14ac:dyDescent="0.3">
      <c r="A13" s="6">
        <f>A6</f>
        <v>1</v>
      </c>
      <c r="B13" s="7">
        <f t="shared" si="0"/>
        <v>0.2</v>
      </c>
      <c r="C13" s="7">
        <f t="shared" si="0"/>
        <v>0.3</v>
      </c>
      <c r="D13" s="7">
        <f>SUM(B13:C13)</f>
        <v>0.5</v>
      </c>
    </row>
    <row r="14" spans="1:8" ht="22.05" customHeight="1" x14ac:dyDescent="0.3">
      <c r="A14" s="4">
        <f>A7</f>
        <v>2</v>
      </c>
      <c r="B14" s="5">
        <f t="shared" si="0"/>
        <v>0.05</v>
      </c>
      <c r="C14" s="5">
        <f t="shared" si="0"/>
        <v>0.25</v>
      </c>
      <c r="D14" s="5">
        <f>SUM(B14:C14)</f>
        <v>0.3</v>
      </c>
    </row>
    <row r="15" spans="1:8" ht="22.05" customHeight="1" x14ac:dyDescent="0.3">
      <c r="A15" s="2" t="s">
        <v>108</v>
      </c>
      <c r="B15" s="7">
        <f>SUM(B12:B14)</f>
        <v>0.39999999999999997</v>
      </c>
      <c r="C15" s="7">
        <f>SUM(C12:C14)</f>
        <v>0.6</v>
      </c>
      <c r="D15" s="7">
        <f>SUM(D12:D14)</f>
        <v>1</v>
      </c>
    </row>
    <row r="18" spans="1:8" ht="31.95" customHeight="1" x14ac:dyDescent="0.3">
      <c r="A18" s="1" t="s">
        <v>109</v>
      </c>
      <c r="B18" s="1" t="s">
        <v>30</v>
      </c>
    </row>
    <row r="19" spans="1:8" ht="22.05" customHeight="1" x14ac:dyDescent="0.3">
      <c r="A19" s="2" t="s">
        <v>110</v>
      </c>
      <c r="B19" s="7">
        <f>C14/D14</f>
        <v>0.83333333333333337</v>
      </c>
    </row>
    <row r="20" spans="1:8" ht="22.05" customHeight="1" x14ac:dyDescent="0.3">
      <c r="A20" s="8" t="s">
        <v>111</v>
      </c>
      <c r="B20" s="5">
        <f>C15</f>
        <v>0.6</v>
      </c>
    </row>
    <row r="21" spans="1:8" ht="22.05" customHeight="1" x14ac:dyDescent="0.3">
      <c r="A21" s="2" t="s">
        <v>112</v>
      </c>
      <c r="B21" s="7">
        <f>C14</f>
        <v>0.25</v>
      </c>
    </row>
    <row r="22" spans="1:8" ht="22.05" customHeight="1" x14ac:dyDescent="0.3">
      <c r="A22" s="8" t="s">
        <v>113</v>
      </c>
      <c r="B22" s="5">
        <f>D14*C15</f>
        <v>0.18</v>
      </c>
    </row>
    <row r="24" spans="1:8" ht="22.05" customHeight="1" x14ac:dyDescent="0.3">
      <c r="A24" s="8" t="s">
        <v>114</v>
      </c>
      <c r="B24" s="5">
        <f>SUMPRODUCT(A12:A14,D12:D14)</f>
        <v>1.1000000000000001</v>
      </c>
    </row>
    <row r="25" spans="1:8" ht="22.05" customHeight="1" x14ac:dyDescent="0.3">
      <c r="A25" s="2" t="s">
        <v>115</v>
      </c>
      <c r="B25" s="7">
        <f>SUMPRODUCT(A12:A14,A12:A14,D12:D14)-B24^2</f>
        <v>0.48999999999999977</v>
      </c>
    </row>
    <row r="26" spans="1:8" ht="22.05" customHeight="1" x14ac:dyDescent="0.3">
      <c r="A26" s="8" t="s">
        <v>116</v>
      </c>
      <c r="B26" s="5">
        <f>0*B15+1*C15</f>
        <v>0.6</v>
      </c>
    </row>
    <row r="27" spans="1:8" ht="22.05" customHeight="1" x14ac:dyDescent="0.3">
      <c r="A27" s="2" t="s">
        <v>117</v>
      </c>
      <c r="B27" s="7">
        <f>0^2*B15+1^2*C15-B26^2</f>
        <v>0.24</v>
      </c>
    </row>
    <row r="29" spans="1:8" ht="36" customHeight="1" x14ac:dyDescent="0.3">
      <c r="A29" s="18" t="s">
        <v>118</v>
      </c>
      <c r="B29" s="19"/>
      <c r="C29" s="19"/>
      <c r="D29" s="19"/>
      <c r="E29" s="19"/>
      <c r="F29" s="19"/>
      <c r="G29" s="19"/>
      <c r="H29" s="19"/>
    </row>
    <row r="31" spans="1:8" ht="25.95" customHeight="1" x14ac:dyDescent="0.3">
      <c r="A31" s="22" t="s">
        <v>14</v>
      </c>
      <c r="B31" s="23"/>
      <c r="C31" s="23"/>
      <c r="D31" s="23"/>
      <c r="E31" s="23"/>
      <c r="F31" s="23"/>
      <c r="G31" s="23"/>
      <c r="H31" s="23"/>
    </row>
    <row r="32" spans="1:8" ht="24" customHeight="1" x14ac:dyDescent="0.3">
      <c r="A32" s="16" t="s">
        <v>119</v>
      </c>
      <c r="B32" s="17"/>
      <c r="C32" s="17"/>
      <c r="D32" s="17"/>
      <c r="E32" s="17"/>
      <c r="F32" s="17"/>
      <c r="G32" s="17"/>
      <c r="H32" s="17"/>
    </row>
    <row r="33" spans="1:8" ht="36" customHeight="1" x14ac:dyDescent="0.3">
      <c r="A33" s="20" t="s">
        <v>120</v>
      </c>
      <c r="B33" s="21"/>
      <c r="C33" s="21"/>
      <c r="D33" s="21"/>
      <c r="E33" s="21"/>
      <c r="F33" s="21"/>
      <c r="G33" s="21"/>
      <c r="H33" s="21"/>
    </row>
    <row r="34" spans="1:8" ht="36" customHeight="1" x14ac:dyDescent="0.3">
      <c r="A34" s="16" t="s">
        <v>121</v>
      </c>
      <c r="B34" s="17"/>
      <c r="C34" s="17"/>
      <c r="D34" s="17"/>
      <c r="E34" s="17"/>
      <c r="F34" s="17"/>
      <c r="G34" s="17"/>
      <c r="H34" s="17"/>
    </row>
    <row r="35" spans="1:8" ht="24" customHeight="1" x14ac:dyDescent="0.3">
      <c r="A35" s="20" t="s">
        <v>122</v>
      </c>
      <c r="B35" s="21"/>
      <c r="C35" s="21"/>
      <c r="D35" s="21"/>
      <c r="E35" s="21"/>
      <c r="F35" s="21"/>
      <c r="G35" s="21"/>
      <c r="H35" s="21"/>
    </row>
    <row r="36" spans="1:8" ht="24" customHeight="1" x14ac:dyDescent="0.3">
      <c r="A36" s="16" t="s">
        <v>123</v>
      </c>
      <c r="B36" s="17"/>
      <c r="C36" s="17"/>
      <c r="D36" s="17"/>
      <c r="E36" s="17"/>
      <c r="F36" s="17"/>
      <c r="G36" s="17"/>
      <c r="H36" s="17"/>
    </row>
    <row r="37" spans="1:8" ht="36" customHeight="1" x14ac:dyDescent="0.3">
      <c r="A37" s="20" t="s">
        <v>124</v>
      </c>
      <c r="B37" s="21"/>
      <c r="C37" s="21"/>
      <c r="D37" s="21"/>
      <c r="E37" s="21"/>
      <c r="F37" s="21"/>
      <c r="G37" s="21"/>
      <c r="H37" s="21"/>
    </row>
  </sheetData>
  <mergeCells count="10">
    <mergeCell ref="A1:H1"/>
    <mergeCell ref="A37:H37"/>
    <mergeCell ref="A32:H32"/>
    <mergeCell ref="A31:H31"/>
    <mergeCell ref="A34:H34"/>
    <mergeCell ref="A29:H29"/>
    <mergeCell ref="A35:H35"/>
    <mergeCell ref="A2:H2"/>
    <mergeCell ref="A33:H33"/>
    <mergeCell ref="A36:H36"/>
  </mergeCells>
  <dataValidations count="1">
    <dataValidation type="whole" showErrorMessage="1" errorTitle="Check the input" error="Enter a value between 0 and 100000." sqref="B5:C7" xr:uid="{00000000-0002-0000-0500-000000000000}">
      <formula1>0</formula1>
      <formula2>100000</formula2>
    </dataValidation>
  </dataValidations>
  <pageMargins left="0.3" right="0.3" top="0.5" bottom="0.5" header="0.5" footer="0.5"/>
  <pageSetup paperSize="9" scale="97" fitToHeight="2" orientation="landscape" r:id="rId1"/>
  <rowBreaks count="1" manualBreakCount="1">
    <brk id="23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20" customWidth="1"/>
    <col min="4" max="4" width="24" customWidth="1"/>
    <col min="5" max="5" width="25" customWidth="1"/>
    <col min="6" max="8" width="3" customWidth="1"/>
  </cols>
  <sheetData>
    <row r="1" spans="1:8" ht="31.95" customHeight="1" x14ac:dyDescent="0.3">
      <c r="A1" s="14" t="s">
        <v>125</v>
      </c>
      <c r="B1" s="15"/>
      <c r="C1" s="15"/>
      <c r="D1" s="15"/>
      <c r="E1" s="15"/>
      <c r="F1" s="15"/>
      <c r="G1" s="15"/>
      <c r="H1" s="15"/>
    </row>
    <row r="2" spans="1:8" ht="24" customHeight="1" x14ac:dyDescent="0.3">
      <c r="A2" s="18" t="s">
        <v>126</v>
      </c>
      <c r="B2" s="19"/>
      <c r="C2" s="19"/>
      <c r="D2" s="19"/>
      <c r="E2" s="19"/>
      <c r="F2" s="19"/>
      <c r="G2" s="19"/>
      <c r="H2" s="19"/>
    </row>
    <row r="4" spans="1:8" ht="31.95" customHeight="1" x14ac:dyDescent="0.3">
      <c r="A4" s="1" t="s">
        <v>127</v>
      </c>
      <c r="B4" s="1" t="s">
        <v>128</v>
      </c>
      <c r="C4" s="1" t="s">
        <v>129</v>
      </c>
      <c r="D4" s="1" t="s">
        <v>130</v>
      </c>
      <c r="E4" s="1" t="s">
        <v>27</v>
      </c>
    </row>
    <row r="5" spans="1:8" ht="22.05" customHeight="1" x14ac:dyDescent="0.3">
      <c r="A5" s="6">
        <v>0</v>
      </c>
      <c r="B5" s="7">
        <f>'06 Joint Distribution'!B12</f>
        <v>0.15</v>
      </c>
      <c r="C5" s="7">
        <f>A5*B5</f>
        <v>0</v>
      </c>
      <c r="D5" s="7">
        <f>A5-$B$12</f>
        <v>-1.7</v>
      </c>
      <c r="E5" s="7">
        <f>D5^2*B5</f>
        <v>0.43349999999999994</v>
      </c>
    </row>
    <row r="6" spans="1:8" ht="22.05" customHeight="1" x14ac:dyDescent="0.3">
      <c r="A6" s="4">
        <v>1</v>
      </c>
      <c r="B6" s="5">
        <f>'06 Joint Distribution'!C12+'06 Joint Distribution'!B13</f>
        <v>0.25</v>
      </c>
      <c r="C6" s="5">
        <f>A6*B6</f>
        <v>0.25</v>
      </c>
      <c r="D6" s="5">
        <f>A6-$B$12</f>
        <v>-0.7</v>
      </c>
      <c r="E6" s="5">
        <f>D6^2*B6</f>
        <v>0.12249999999999998</v>
      </c>
    </row>
    <row r="7" spans="1:8" ht="22.05" customHeight="1" x14ac:dyDescent="0.3">
      <c r="A7" s="6">
        <v>2</v>
      </c>
      <c r="B7" s="7">
        <f>'06 Joint Distribution'!C13+'06 Joint Distribution'!B14</f>
        <v>0.35</v>
      </c>
      <c r="C7" s="7">
        <f>A7*B7</f>
        <v>0.7</v>
      </c>
      <c r="D7" s="7">
        <f>A7-$B$12</f>
        <v>0.30000000000000004</v>
      </c>
      <c r="E7" s="7">
        <f>D7^2*B7</f>
        <v>3.1500000000000007E-2</v>
      </c>
    </row>
    <row r="8" spans="1:8" ht="22.05" customHeight="1" x14ac:dyDescent="0.3">
      <c r="A8" s="4">
        <v>3</v>
      </c>
      <c r="B8" s="5">
        <f>'06 Joint Distribution'!C14</f>
        <v>0.25</v>
      </c>
      <c r="C8" s="5">
        <f>A8*B8</f>
        <v>0.75</v>
      </c>
      <c r="D8" s="5">
        <f>A8-$B$12</f>
        <v>1.3</v>
      </c>
      <c r="E8" s="5">
        <f>D8^2*B8</f>
        <v>0.42250000000000004</v>
      </c>
    </row>
    <row r="9" spans="1:8" ht="22.05" customHeight="1" x14ac:dyDescent="0.3">
      <c r="A9" s="2" t="s">
        <v>12</v>
      </c>
      <c r="B9" s="7">
        <f>SUM(B5:B8)</f>
        <v>1</v>
      </c>
    </row>
    <row r="11" spans="1:8" ht="31.95" customHeight="1" x14ac:dyDescent="0.3">
      <c r="A11" s="1" t="s">
        <v>29</v>
      </c>
      <c r="B11" s="1" t="s">
        <v>30</v>
      </c>
    </row>
    <row r="12" spans="1:8" ht="22.05" customHeight="1" x14ac:dyDescent="0.3">
      <c r="A12" s="8" t="s">
        <v>131</v>
      </c>
      <c r="B12" s="5">
        <f>SUM(C5:C8)</f>
        <v>1.7</v>
      </c>
    </row>
    <row r="13" spans="1:8" ht="22.05" customHeight="1" x14ac:dyDescent="0.3">
      <c r="A13" s="2" t="s">
        <v>32</v>
      </c>
      <c r="B13" s="7">
        <f>SUM(E5:E8)</f>
        <v>1.01</v>
      </c>
    </row>
    <row r="14" spans="1:8" ht="22.05" customHeight="1" x14ac:dyDescent="0.3">
      <c r="A14" s="8" t="s">
        <v>33</v>
      </c>
      <c r="B14" s="5">
        <f>SQRT(B13)</f>
        <v>1.004987562112089</v>
      </c>
    </row>
    <row r="16" spans="1:8" ht="22.05" customHeight="1" x14ac:dyDescent="0.3">
      <c r="A16" s="8" t="s">
        <v>132</v>
      </c>
      <c r="B16" s="5">
        <f>'06 Joint Distribution'!B24+'06 Joint Distribution'!B26</f>
        <v>1.7000000000000002</v>
      </c>
    </row>
    <row r="17" spans="1:8" ht="22.05" customHeight="1" x14ac:dyDescent="0.3">
      <c r="A17" s="2" t="s">
        <v>133</v>
      </c>
      <c r="B17" s="7">
        <f>'06 Joint Distribution'!B25+'06 Joint Distribution'!B27</f>
        <v>0.72999999999999976</v>
      </c>
    </row>
    <row r="18" spans="1:8" ht="22.05" customHeight="1" x14ac:dyDescent="0.3">
      <c r="A18" s="8" t="s">
        <v>134</v>
      </c>
      <c r="B18" s="5">
        <f>B13-B17</f>
        <v>0.28000000000000025</v>
      </c>
    </row>
    <row r="19" spans="1:8" ht="22.05" customHeight="1" x14ac:dyDescent="0.3">
      <c r="A19" s="2" t="s">
        <v>135</v>
      </c>
      <c r="B19" s="7">
        <f>B18/2</f>
        <v>0.14000000000000012</v>
      </c>
    </row>
    <row r="21" spans="1:8" ht="36" customHeight="1" x14ac:dyDescent="0.3">
      <c r="A21" s="18" t="s">
        <v>136</v>
      </c>
      <c r="B21" s="19"/>
      <c r="C21" s="19"/>
      <c r="D21" s="19"/>
      <c r="E21" s="19"/>
      <c r="F21" s="19"/>
      <c r="G21" s="19"/>
      <c r="H21" s="19"/>
    </row>
    <row r="23" spans="1:8" ht="25.95" customHeight="1" x14ac:dyDescent="0.3">
      <c r="A23" s="22" t="s">
        <v>14</v>
      </c>
      <c r="B23" s="23"/>
      <c r="C23" s="23"/>
      <c r="D23" s="23"/>
      <c r="E23" s="23"/>
      <c r="F23" s="23"/>
      <c r="G23" s="23"/>
      <c r="H23" s="23"/>
    </row>
    <row r="24" spans="1:8" ht="36" customHeight="1" x14ac:dyDescent="0.3">
      <c r="A24" s="16" t="s">
        <v>137</v>
      </c>
      <c r="B24" s="17"/>
      <c r="C24" s="17"/>
      <c r="D24" s="17"/>
      <c r="E24" s="17"/>
      <c r="F24" s="17"/>
      <c r="G24" s="17"/>
      <c r="H24" s="17"/>
    </row>
    <row r="25" spans="1:8" ht="24" customHeight="1" x14ac:dyDescent="0.3">
      <c r="A25" s="20" t="s">
        <v>138</v>
      </c>
      <c r="B25" s="21"/>
      <c r="C25" s="21"/>
      <c r="D25" s="21"/>
      <c r="E25" s="21"/>
      <c r="F25" s="21"/>
      <c r="G25" s="21"/>
      <c r="H25" s="21"/>
    </row>
    <row r="26" spans="1:8" ht="24" customHeight="1" x14ac:dyDescent="0.3">
      <c r="A26" s="16" t="s">
        <v>139</v>
      </c>
      <c r="B26" s="17"/>
      <c r="C26" s="17"/>
      <c r="D26" s="17"/>
      <c r="E26" s="17"/>
      <c r="F26" s="17"/>
      <c r="G26" s="17"/>
      <c r="H26" s="17"/>
    </row>
    <row r="27" spans="1:8" ht="24" customHeight="1" x14ac:dyDescent="0.3">
      <c r="A27" s="20" t="s">
        <v>140</v>
      </c>
      <c r="B27" s="21"/>
      <c r="C27" s="21"/>
      <c r="D27" s="21"/>
      <c r="E27" s="21"/>
      <c r="F27" s="21"/>
      <c r="G27" s="21"/>
      <c r="H27" s="21"/>
    </row>
    <row r="28" spans="1:8" ht="24" customHeight="1" x14ac:dyDescent="0.3">
      <c r="A28" s="16" t="s">
        <v>141</v>
      </c>
      <c r="B28" s="17"/>
      <c r="C28" s="17"/>
      <c r="D28" s="17"/>
      <c r="E28" s="17"/>
      <c r="F28" s="17"/>
      <c r="G28" s="17"/>
      <c r="H28" s="17"/>
    </row>
    <row r="29" spans="1:8" ht="24" customHeight="1" x14ac:dyDescent="0.3">
      <c r="A29" s="20" t="s">
        <v>142</v>
      </c>
      <c r="B29" s="21"/>
      <c r="C29" s="21"/>
      <c r="D29" s="21"/>
      <c r="E29" s="21"/>
      <c r="F29" s="21"/>
      <c r="G29" s="21"/>
      <c r="H29" s="21"/>
    </row>
  </sheetData>
  <mergeCells count="10">
    <mergeCell ref="A1:H1"/>
    <mergeCell ref="A23:H23"/>
    <mergeCell ref="A27:H27"/>
    <mergeCell ref="A26:H26"/>
    <mergeCell ref="A21:H21"/>
    <mergeCell ref="A29:H29"/>
    <mergeCell ref="A25:H25"/>
    <mergeCell ref="A24:H24"/>
    <mergeCell ref="A2:H2"/>
    <mergeCell ref="A28:H28"/>
  </mergeCells>
  <pageMargins left="0.3" right="0.3" top="0.5" bottom="0.5" header="0.5" footer="0.5"/>
  <pageSetup paperSize="9" scale="99" fitToHeight="2" orientation="landscape" r:id="rId1"/>
  <rowBreaks count="1" manualBreakCount="1">
    <brk id="22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2" width="15" customWidth="1"/>
    <col min="3" max="3" width="20" customWidth="1"/>
    <col min="4" max="5" width="24" customWidth="1"/>
    <col min="6" max="6" width="25" customWidth="1"/>
    <col min="7" max="8" width="3" customWidth="1"/>
  </cols>
  <sheetData>
    <row r="1" spans="1:8" ht="31.95" customHeight="1" x14ac:dyDescent="0.3">
      <c r="A1" s="14" t="s">
        <v>143</v>
      </c>
      <c r="B1" s="15"/>
      <c r="C1" s="15"/>
      <c r="D1" s="15"/>
      <c r="E1" s="15"/>
      <c r="F1" s="15"/>
      <c r="G1" s="15"/>
      <c r="H1" s="15"/>
    </row>
    <row r="2" spans="1:8" ht="24" customHeight="1" x14ac:dyDescent="0.3">
      <c r="A2" s="18" t="s">
        <v>144</v>
      </c>
      <c r="B2" s="19"/>
      <c r="C2" s="19"/>
      <c r="D2" s="19"/>
      <c r="E2" s="19"/>
      <c r="F2" s="19"/>
      <c r="G2" s="19"/>
      <c r="H2" s="19"/>
    </row>
    <row r="4" spans="1:8" ht="31.95" customHeight="1" x14ac:dyDescent="0.3">
      <c r="A4" s="1" t="s">
        <v>145</v>
      </c>
      <c r="B4" s="1" t="s">
        <v>146</v>
      </c>
      <c r="C4" s="1" t="s">
        <v>147</v>
      </c>
      <c r="D4" s="1" t="s">
        <v>148</v>
      </c>
      <c r="E4" s="1" t="s">
        <v>149</v>
      </c>
      <c r="F4" s="1" t="s">
        <v>150</v>
      </c>
    </row>
    <row r="5" spans="1:8" ht="22.05" customHeight="1" x14ac:dyDescent="0.3">
      <c r="A5" s="6">
        <v>0</v>
      </c>
      <c r="B5" s="6">
        <v>0</v>
      </c>
      <c r="C5" s="7">
        <f>'06 Joint Distribution'!B12</f>
        <v>0.15</v>
      </c>
      <c r="D5" s="7">
        <f t="shared" ref="D5:D10" si="0">A5-$B$14</f>
        <v>-1.1000000000000001</v>
      </c>
      <c r="E5" s="7">
        <f t="shared" ref="E5:E10" si="1">B5-$B$15</f>
        <v>-0.6</v>
      </c>
      <c r="F5" s="7">
        <f t="shared" ref="F5:F10" si="2">D5*E5*C5</f>
        <v>9.9000000000000005E-2</v>
      </c>
    </row>
    <row r="6" spans="1:8" ht="22.05" customHeight="1" x14ac:dyDescent="0.3">
      <c r="A6" s="4">
        <v>0</v>
      </c>
      <c r="B6" s="4">
        <v>1</v>
      </c>
      <c r="C6" s="5">
        <f>'06 Joint Distribution'!C12</f>
        <v>0.05</v>
      </c>
      <c r="D6" s="5">
        <f t="shared" si="0"/>
        <v>-1.1000000000000001</v>
      </c>
      <c r="E6" s="5">
        <f t="shared" si="1"/>
        <v>0.4</v>
      </c>
      <c r="F6" s="5">
        <f t="shared" si="2"/>
        <v>-2.2000000000000006E-2</v>
      </c>
    </row>
    <row r="7" spans="1:8" ht="22.05" customHeight="1" x14ac:dyDescent="0.3">
      <c r="A7" s="6">
        <v>1</v>
      </c>
      <c r="B7" s="6">
        <v>0</v>
      </c>
      <c r="C7" s="7">
        <f>'06 Joint Distribution'!B13</f>
        <v>0.2</v>
      </c>
      <c r="D7" s="7">
        <f t="shared" si="0"/>
        <v>-0.10000000000000009</v>
      </c>
      <c r="E7" s="7">
        <f t="shared" si="1"/>
        <v>-0.6</v>
      </c>
      <c r="F7" s="7">
        <f t="shared" si="2"/>
        <v>1.2000000000000011E-2</v>
      </c>
    </row>
    <row r="8" spans="1:8" ht="22.05" customHeight="1" x14ac:dyDescent="0.3">
      <c r="A8" s="4">
        <v>1</v>
      </c>
      <c r="B8" s="4">
        <v>1</v>
      </c>
      <c r="C8" s="5">
        <f>'06 Joint Distribution'!C13</f>
        <v>0.3</v>
      </c>
      <c r="D8" s="5">
        <f t="shared" si="0"/>
        <v>-0.10000000000000009</v>
      </c>
      <c r="E8" s="5">
        <f t="shared" si="1"/>
        <v>0.4</v>
      </c>
      <c r="F8" s="5">
        <f t="shared" si="2"/>
        <v>-1.2000000000000011E-2</v>
      </c>
    </row>
    <row r="9" spans="1:8" ht="22.05" customHeight="1" x14ac:dyDescent="0.3">
      <c r="A9" s="6">
        <v>2</v>
      </c>
      <c r="B9" s="6">
        <v>0</v>
      </c>
      <c r="C9" s="7">
        <f>'06 Joint Distribution'!B14</f>
        <v>0.05</v>
      </c>
      <c r="D9" s="7">
        <f t="shared" si="0"/>
        <v>0.89999999999999991</v>
      </c>
      <c r="E9" s="7">
        <f t="shared" si="1"/>
        <v>-0.6</v>
      </c>
      <c r="F9" s="7">
        <f t="shared" si="2"/>
        <v>-2.6999999999999996E-2</v>
      </c>
    </row>
    <row r="10" spans="1:8" ht="22.05" customHeight="1" x14ac:dyDescent="0.3">
      <c r="A10" s="4">
        <v>2</v>
      </c>
      <c r="B10" s="4">
        <v>1</v>
      </c>
      <c r="C10" s="5">
        <f>'06 Joint Distribution'!C14</f>
        <v>0.25</v>
      </c>
      <c r="D10" s="5">
        <f t="shared" si="0"/>
        <v>0.89999999999999991</v>
      </c>
      <c r="E10" s="5">
        <f t="shared" si="1"/>
        <v>0.4</v>
      </c>
      <c r="F10" s="5">
        <f t="shared" si="2"/>
        <v>0.09</v>
      </c>
    </row>
    <row r="13" spans="1:8" ht="31.95" customHeight="1" x14ac:dyDescent="0.3">
      <c r="A13" s="1" t="s">
        <v>29</v>
      </c>
      <c r="B13" s="1" t="s">
        <v>30</v>
      </c>
    </row>
    <row r="14" spans="1:8" ht="22.05" customHeight="1" x14ac:dyDescent="0.3">
      <c r="A14" s="8" t="s">
        <v>151</v>
      </c>
      <c r="B14" s="5">
        <f>'06 Joint Distribution'!B24</f>
        <v>1.1000000000000001</v>
      </c>
    </row>
    <row r="15" spans="1:8" ht="22.05" customHeight="1" x14ac:dyDescent="0.3">
      <c r="A15" s="2" t="s">
        <v>152</v>
      </c>
      <c r="B15" s="7">
        <f>'06 Joint Distribution'!B26</f>
        <v>0.6</v>
      </c>
    </row>
    <row r="16" spans="1:8" ht="22.05" customHeight="1" x14ac:dyDescent="0.3">
      <c r="A16" s="8" t="s">
        <v>153</v>
      </c>
      <c r="B16" s="5">
        <f>SUM(F5:F10)</f>
        <v>0.14000000000000001</v>
      </c>
    </row>
    <row r="17" spans="1:8" ht="22.05" customHeight="1" x14ac:dyDescent="0.3">
      <c r="A17" s="2" t="s">
        <v>154</v>
      </c>
      <c r="B17" s="7">
        <f>SQRT('06 Joint Distribution'!B25)</f>
        <v>0.69999999999999984</v>
      </c>
    </row>
    <row r="18" spans="1:8" ht="22.05" customHeight="1" x14ac:dyDescent="0.3">
      <c r="A18" s="8" t="s">
        <v>155</v>
      </c>
      <c r="B18" s="5">
        <f>SQRT('06 Joint Distribution'!B27)</f>
        <v>0.4898979485566356</v>
      </c>
    </row>
    <row r="19" spans="1:8" ht="22.05" customHeight="1" x14ac:dyDescent="0.3">
      <c r="A19" s="2" t="s">
        <v>156</v>
      </c>
      <c r="B19" s="7">
        <f>B16/(B17*B18)</f>
        <v>0.40824829046386318</v>
      </c>
    </row>
    <row r="20" spans="1:8" ht="22.05" customHeight="1" x14ac:dyDescent="0.3">
      <c r="A20" s="8" t="s">
        <v>157</v>
      </c>
      <c r="B20" s="5">
        <f>'07 Total Sales'!B19</f>
        <v>0.14000000000000012</v>
      </c>
    </row>
    <row r="22" spans="1:8" ht="36" customHeight="1" x14ac:dyDescent="0.3">
      <c r="A22" s="18" t="s">
        <v>158</v>
      </c>
      <c r="B22" s="19"/>
      <c r="C22" s="19"/>
      <c r="D22" s="19"/>
      <c r="E22" s="19"/>
      <c r="F22" s="19"/>
      <c r="G22" s="19"/>
      <c r="H22" s="19"/>
    </row>
    <row r="24" spans="1:8" ht="25.95" customHeight="1" x14ac:dyDescent="0.3">
      <c r="A24" s="22" t="s">
        <v>14</v>
      </c>
      <c r="B24" s="23"/>
      <c r="C24" s="23"/>
      <c r="D24" s="23"/>
      <c r="E24" s="23"/>
      <c r="F24" s="23"/>
      <c r="G24" s="23"/>
      <c r="H24" s="23"/>
    </row>
    <row r="25" spans="1:8" ht="24" customHeight="1" x14ac:dyDescent="0.3">
      <c r="A25" s="16" t="s">
        <v>159</v>
      </c>
      <c r="B25" s="17"/>
      <c r="C25" s="17"/>
      <c r="D25" s="17"/>
      <c r="E25" s="17"/>
      <c r="F25" s="17"/>
      <c r="G25" s="17"/>
      <c r="H25" s="17"/>
    </row>
    <row r="26" spans="1:8" ht="24" customHeight="1" x14ac:dyDescent="0.3">
      <c r="A26" s="20" t="s">
        <v>160</v>
      </c>
      <c r="B26" s="21"/>
      <c r="C26" s="21"/>
      <c r="D26" s="21"/>
      <c r="E26" s="21"/>
      <c r="F26" s="21"/>
      <c r="G26" s="21"/>
      <c r="H26" s="21"/>
    </row>
    <row r="27" spans="1:8" ht="24" customHeight="1" x14ac:dyDescent="0.3">
      <c r="A27" s="16" t="s">
        <v>161</v>
      </c>
      <c r="B27" s="17"/>
      <c r="C27" s="17"/>
      <c r="D27" s="17"/>
      <c r="E27" s="17"/>
      <c r="F27" s="17"/>
      <c r="G27" s="17"/>
      <c r="H27" s="17"/>
    </row>
    <row r="28" spans="1:8" ht="24" customHeight="1" x14ac:dyDescent="0.3">
      <c r="A28" s="20" t="s">
        <v>162</v>
      </c>
      <c r="B28" s="21"/>
      <c r="C28" s="21"/>
      <c r="D28" s="21"/>
      <c r="E28" s="21"/>
      <c r="F28" s="21"/>
      <c r="G28" s="21"/>
      <c r="H28" s="21"/>
    </row>
    <row r="29" spans="1:8" ht="24" customHeight="1" x14ac:dyDescent="0.3">
      <c r="A29" s="16" t="s">
        <v>163</v>
      </c>
      <c r="B29" s="17"/>
      <c r="C29" s="17"/>
      <c r="D29" s="17"/>
      <c r="E29" s="17"/>
      <c r="F29" s="17"/>
      <c r="G29" s="17"/>
      <c r="H29" s="17"/>
    </row>
  </sheetData>
  <mergeCells count="9">
    <mergeCell ref="A1:H1"/>
    <mergeCell ref="A27:H27"/>
    <mergeCell ref="A22:H22"/>
    <mergeCell ref="A26:H26"/>
    <mergeCell ref="A29:H29"/>
    <mergeCell ref="A25:H25"/>
    <mergeCell ref="A24:H24"/>
    <mergeCell ref="A2:H2"/>
    <mergeCell ref="A28:H28"/>
  </mergeCells>
  <pageMargins left="0.3" right="0.3" top="0.5" bottom="0.5" header="0.5" footer="0.5"/>
  <pageSetup paperSize="9" scale="95" fitToHeight="2" orientation="landscape" r:id="rId1"/>
  <rowBreaks count="1" manualBreakCount="1">
    <brk id="23" max="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4" customWidth="1"/>
    <col min="2" max="2" width="17" customWidth="1"/>
    <col min="3" max="4" width="19" customWidth="1"/>
    <col min="5" max="6" width="21" customWidth="1"/>
    <col min="7" max="7" width="23" customWidth="1"/>
    <col min="8" max="8" width="3" customWidth="1"/>
  </cols>
  <sheetData>
    <row r="1" spans="1:8" ht="31.95" customHeight="1" x14ac:dyDescent="0.3">
      <c r="A1" s="14" t="s">
        <v>164</v>
      </c>
      <c r="B1" s="15"/>
      <c r="C1" s="15"/>
      <c r="D1" s="15"/>
      <c r="E1" s="15"/>
      <c r="F1" s="15"/>
      <c r="G1" s="15"/>
      <c r="H1" s="15"/>
    </row>
    <row r="2" spans="1:8" ht="24" customHeight="1" x14ac:dyDescent="0.3">
      <c r="A2" s="18" t="s">
        <v>165</v>
      </c>
      <c r="B2" s="19"/>
      <c r="C2" s="19"/>
      <c r="D2" s="19"/>
      <c r="E2" s="19"/>
      <c r="F2" s="19"/>
      <c r="G2" s="19"/>
      <c r="H2" s="19"/>
    </row>
    <row r="4" spans="1:8" ht="31.95" customHeight="1" x14ac:dyDescent="0.3">
      <c r="A4" s="1" t="s">
        <v>166</v>
      </c>
      <c r="B4" s="1" t="s">
        <v>37</v>
      </c>
      <c r="C4" s="1" t="s">
        <v>167</v>
      </c>
      <c r="D4" s="1" t="s">
        <v>168</v>
      </c>
    </row>
    <row r="5" spans="1:8" ht="22.05" customHeight="1" x14ac:dyDescent="0.3">
      <c r="A5" s="2" t="s">
        <v>169</v>
      </c>
      <c r="B5" s="3">
        <v>0.25</v>
      </c>
      <c r="C5" s="3">
        <v>-4</v>
      </c>
      <c r="D5" s="3">
        <v>12</v>
      </c>
    </row>
    <row r="6" spans="1:8" ht="22.05" customHeight="1" x14ac:dyDescent="0.3">
      <c r="A6" s="8" t="s">
        <v>170</v>
      </c>
      <c r="B6" s="9">
        <v>0.5</v>
      </c>
      <c r="C6" s="9">
        <v>8</v>
      </c>
      <c r="D6" s="9">
        <v>6</v>
      </c>
    </row>
    <row r="7" spans="1:8" ht="22.05" customHeight="1" x14ac:dyDescent="0.3">
      <c r="A7" s="2" t="s">
        <v>171</v>
      </c>
      <c r="B7" s="3">
        <v>0.25</v>
      </c>
      <c r="C7" s="3">
        <v>20</v>
      </c>
      <c r="D7" s="3">
        <v>4</v>
      </c>
    </row>
    <row r="8" spans="1:8" ht="22.05" customHeight="1" x14ac:dyDescent="0.3">
      <c r="A8" s="8" t="s">
        <v>67</v>
      </c>
      <c r="B8" s="5">
        <f>SUM(B5:B7)</f>
        <v>1</v>
      </c>
    </row>
    <row r="10" spans="1:8" ht="31.95" customHeight="1" x14ac:dyDescent="0.3">
      <c r="A10" s="1" t="s">
        <v>29</v>
      </c>
      <c r="B10" s="1" t="s">
        <v>172</v>
      </c>
      <c r="C10" s="1" t="s">
        <v>173</v>
      </c>
    </row>
    <row r="11" spans="1:8" ht="22.05" customHeight="1" x14ac:dyDescent="0.3">
      <c r="A11" s="2" t="s">
        <v>174</v>
      </c>
      <c r="B11" s="7">
        <f>SUMPRODUCT(B5:B7,C5:C7)</f>
        <v>8</v>
      </c>
      <c r="C11" s="7">
        <f>SUMPRODUCT(B5:B7,D5:D7)</f>
        <v>7</v>
      </c>
    </row>
    <row r="12" spans="1:8" ht="22.05" customHeight="1" x14ac:dyDescent="0.3">
      <c r="A12" s="8" t="s">
        <v>175</v>
      </c>
      <c r="B12" s="5">
        <f>SUM(E18:E20)</f>
        <v>72</v>
      </c>
      <c r="C12" s="5">
        <f>SUM(F18:F20)</f>
        <v>9</v>
      </c>
    </row>
    <row r="13" spans="1:8" ht="22.05" customHeight="1" x14ac:dyDescent="0.3">
      <c r="A13" s="2" t="s">
        <v>176</v>
      </c>
      <c r="B13" s="7">
        <f>SQRT(B12)</f>
        <v>8.4852813742385695</v>
      </c>
      <c r="C13" s="7">
        <f>SQRT(C12)</f>
        <v>3</v>
      </c>
    </row>
    <row r="17" spans="1:8" ht="31.95" customHeight="1" x14ac:dyDescent="0.3">
      <c r="A17" s="1" t="s">
        <v>177</v>
      </c>
      <c r="B17" s="1" t="s">
        <v>37</v>
      </c>
      <c r="C17" s="1" t="s">
        <v>178</v>
      </c>
      <c r="D17" s="1" t="s">
        <v>179</v>
      </c>
      <c r="E17" s="1" t="s">
        <v>180</v>
      </c>
      <c r="F17" s="1" t="s">
        <v>181</v>
      </c>
      <c r="G17" s="1" t="s">
        <v>150</v>
      </c>
    </row>
    <row r="18" spans="1:8" ht="22.05" customHeight="1" x14ac:dyDescent="0.3">
      <c r="A18" s="10" t="str">
        <f t="shared" ref="A18:B20" si="0">A5</f>
        <v>Weak</v>
      </c>
      <c r="B18" s="5">
        <f t="shared" si="0"/>
        <v>0.25</v>
      </c>
      <c r="C18" s="5">
        <f>C5-$B$11</f>
        <v>-12</v>
      </c>
      <c r="D18" s="5">
        <f>D5-$C$11</f>
        <v>5</v>
      </c>
      <c r="E18" s="5">
        <f>C18^2*B18</f>
        <v>36</v>
      </c>
      <c r="F18" s="5">
        <f>D18^2*B18</f>
        <v>6.25</v>
      </c>
      <c r="G18" s="5">
        <f>C18*D18*B18</f>
        <v>-15</v>
      </c>
    </row>
    <row r="19" spans="1:8" ht="22.05" customHeight="1" x14ac:dyDescent="0.3">
      <c r="A19" s="11" t="str">
        <f t="shared" si="0"/>
        <v>Moderate</v>
      </c>
      <c r="B19" s="7">
        <f t="shared" si="0"/>
        <v>0.5</v>
      </c>
      <c r="C19" s="7">
        <f>C6-$B$11</f>
        <v>0</v>
      </c>
      <c r="D19" s="7">
        <f>D6-$C$11</f>
        <v>-1</v>
      </c>
      <c r="E19" s="7">
        <f>C19^2*B19</f>
        <v>0</v>
      </c>
      <c r="F19" s="7">
        <f>D19^2*B19</f>
        <v>0.5</v>
      </c>
      <c r="G19" s="7">
        <f>C19*D19*B19</f>
        <v>0</v>
      </c>
    </row>
    <row r="20" spans="1:8" ht="22.05" customHeight="1" x14ac:dyDescent="0.3">
      <c r="A20" s="10" t="str">
        <f t="shared" si="0"/>
        <v>Strong</v>
      </c>
      <c r="B20" s="5">
        <f t="shared" si="0"/>
        <v>0.25</v>
      </c>
      <c r="C20" s="5">
        <f>C7-$B$11</f>
        <v>12</v>
      </c>
      <c r="D20" s="5">
        <f>D7-$C$11</f>
        <v>-3</v>
      </c>
      <c r="E20" s="5">
        <f>C20^2*B20</f>
        <v>36</v>
      </c>
      <c r="F20" s="5">
        <f>D20^2*B20</f>
        <v>2.25</v>
      </c>
      <c r="G20" s="5">
        <f>C20*D20*B20</f>
        <v>-9</v>
      </c>
    </row>
    <row r="23" spans="1:8" ht="22.05" customHeight="1" x14ac:dyDescent="0.3">
      <c r="A23" s="2" t="s">
        <v>182</v>
      </c>
      <c r="B23" s="7">
        <f>SUM(G18:G20)</f>
        <v>-24</v>
      </c>
    </row>
    <row r="24" spans="1:8" ht="22.05" customHeight="1" x14ac:dyDescent="0.3">
      <c r="A24" s="8" t="s">
        <v>156</v>
      </c>
      <c r="B24" s="5">
        <f>B23/(B13*C13)</f>
        <v>-0.94280904158206336</v>
      </c>
    </row>
    <row r="25" spans="1:8" ht="22.05" customHeight="1" x14ac:dyDescent="0.3">
      <c r="A25" s="2" t="s">
        <v>69</v>
      </c>
      <c r="B25" s="11" t="str">
        <f>IF(AND(ABS(B8-1)&lt;0.000000001,MIN(B5:B7)&gt;=0),"OK","Check probabilities")</f>
        <v>OK</v>
      </c>
    </row>
    <row r="27" spans="1:8" ht="24" customHeight="1" x14ac:dyDescent="0.3">
      <c r="A27" s="18" t="s">
        <v>183</v>
      </c>
      <c r="B27" s="19"/>
      <c r="C27" s="19"/>
      <c r="D27" s="19"/>
      <c r="E27" s="19"/>
      <c r="F27" s="19"/>
      <c r="G27" s="19"/>
      <c r="H27" s="19"/>
    </row>
    <row r="29" spans="1:8" ht="25.95" customHeight="1" x14ac:dyDescent="0.3">
      <c r="A29" s="22" t="s">
        <v>14</v>
      </c>
      <c r="B29" s="23"/>
      <c r="C29" s="23"/>
      <c r="D29" s="23"/>
      <c r="E29" s="23"/>
      <c r="F29" s="23"/>
      <c r="G29" s="23"/>
      <c r="H29" s="23"/>
    </row>
    <row r="30" spans="1:8" ht="24" customHeight="1" x14ac:dyDescent="0.3">
      <c r="A30" s="16" t="s">
        <v>184</v>
      </c>
      <c r="B30" s="17"/>
      <c r="C30" s="17"/>
      <c r="D30" s="17"/>
      <c r="E30" s="17"/>
      <c r="F30" s="17"/>
      <c r="G30" s="17"/>
      <c r="H30" s="17"/>
    </row>
    <row r="31" spans="1:8" ht="24" customHeight="1" x14ac:dyDescent="0.3">
      <c r="A31" s="20" t="s">
        <v>185</v>
      </c>
      <c r="B31" s="21"/>
      <c r="C31" s="21"/>
      <c r="D31" s="21"/>
      <c r="E31" s="21"/>
      <c r="F31" s="21"/>
      <c r="G31" s="21"/>
      <c r="H31" s="21"/>
    </row>
    <row r="32" spans="1:8" ht="24" customHeight="1" x14ac:dyDescent="0.3">
      <c r="A32" s="16" t="s">
        <v>186</v>
      </c>
      <c r="B32" s="17"/>
      <c r="C32" s="17"/>
      <c r="D32" s="17"/>
      <c r="E32" s="17"/>
      <c r="F32" s="17"/>
      <c r="G32" s="17"/>
      <c r="H32" s="17"/>
    </row>
    <row r="33" spans="1:8" ht="24" customHeight="1" x14ac:dyDescent="0.3">
      <c r="A33" s="20" t="s">
        <v>187</v>
      </c>
      <c r="B33" s="21"/>
      <c r="C33" s="21"/>
      <c r="D33" s="21"/>
      <c r="E33" s="21"/>
      <c r="F33" s="21"/>
      <c r="G33" s="21"/>
      <c r="H33" s="21"/>
    </row>
    <row r="34" spans="1:8" ht="24" customHeight="1" x14ac:dyDescent="0.3">
      <c r="A34" s="16" t="s">
        <v>188</v>
      </c>
      <c r="B34" s="17"/>
      <c r="C34" s="17"/>
      <c r="D34" s="17"/>
      <c r="E34" s="17"/>
      <c r="F34" s="17"/>
      <c r="G34" s="17"/>
      <c r="H34" s="17"/>
    </row>
    <row r="35" spans="1:8" ht="24" customHeight="1" x14ac:dyDescent="0.3">
      <c r="A35" s="20" t="s">
        <v>189</v>
      </c>
      <c r="B35" s="21"/>
      <c r="C35" s="21"/>
      <c r="D35" s="21"/>
      <c r="E35" s="21"/>
      <c r="F35" s="21"/>
      <c r="G35" s="21"/>
      <c r="H35" s="21"/>
    </row>
  </sheetData>
  <mergeCells count="10">
    <mergeCell ref="A35:H35"/>
    <mergeCell ref="A2:H2"/>
    <mergeCell ref="A33:H33"/>
    <mergeCell ref="A1:H1"/>
    <mergeCell ref="A32:H32"/>
    <mergeCell ref="A27:H27"/>
    <mergeCell ref="A31:H31"/>
    <mergeCell ref="A34:H34"/>
    <mergeCell ref="A30:H30"/>
    <mergeCell ref="A29:H29"/>
  </mergeCells>
  <dataValidations count="1">
    <dataValidation type="decimal" showErrorMessage="1" errorTitle="Check the input" error="Enter a value between 0 and 1." sqref="B5:B7" xr:uid="{00000000-0002-0000-0800-000000000000}">
      <formula1>0</formula1>
      <formula2>1</formula2>
    </dataValidation>
  </dataValidations>
  <pageMargins left="0.3" right="0.3" top="0.5" bottom="0.5" header="0.5" footer="0.5"/>
  <pageSetup paperSize="9" scale="88" fitToHeight="2" orientation="landscape" r:id="rId1"/>
  <rowBreaks count="1" manualBreakCount="1">
    <brk id="26" max="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5" customWidth="1"/>
    <col min="2" max="2" width="17" customWidth="1"/>
    <col min="3" max="4" width="20" customWidth="1"/>
    <col min="5" max="6" width="24" customWidth="1"/>
    <col min="7" max="8" width="3" customWidth="1"/>
  </cols>
  <sheetData>
    <row r="1" spans="1:8" ht="31.95" customHeight="1" x14ac:dyDescent="0.3">
      <c r="A1" s="14" t="s">
        <v>190</v>
      </c>
      <c r="B1" s="15"/>
      <c r="C1" s="15"/>
      <c r="D1" s="15"/>
      <c r="E1" s="15"/>
      <c r="F1" s="15"/>
      <c r="G1" s="15"/>
      <c r="H1" s="15"/>
    </row>
    <row r="2" spans="1:8" ht="24" customHeight="1" x14ac:dyDescent="0.3">
      <c r="A2" s="18" t="s">
        <v>191</v>
      </c>
      <c r="B2" s="19"/>
      <c r="C2" s="19"/>
      <c r="D2" s="19"/>
      <c r="E2" s="19"/>
      <c r="F2" s="19"/>
      <c r="G2" s="19"/>
      <c r="H2" s="19"/>
    </row>
    <row r="4" spans="1:8" ht="31.95" customHeight="1" x14ac:dyDescent="0.3">
      <c r="A4" s="1" t="s">
        <v>192</v>
      </c>
      <c r="B4" s="1" t="s">
        <v>193</v>
      </c>
    </row>
    <row r="5" spans="1:8" ht="22.05" customHeight="1" x14ac:dyDescent="0.3">
      <c r="A5" s="2" t="s">
        <v>194</v>
      </c>
      <c r="B5" s="12">
        <v>0.5</v>
      </c>
    </row>
    <row r="6" spans="1:8" ht="22.05" customHeight="1" x14ac:dyDescent="0.3">
      <c r="A6" s="8" t="s">
        <v>195</v>
      </c>
      <c r="B6" s="13">
        <f>1-B5</f>
        <v>0.5</v>
      </c>
    </row>
    <row r="9" spans="1:8" ht="31.95" customHeight="1" x14ac:dyDescent="0.3">
      <c r="A9" s="1" t="s">
        <v>166</v>
      </c>
      <c r="B9" s="1" t="s">
        <v>37</v>
      </c>
      <c r="C9" s="1" t="s">
        <v>167</v>
      </c>
      <c r="D9" s="1" t="s">
        <v>168</v>
      </c>
      <c r="E9" s="1" t="s">
        <v>196</v>
      </c>
      <c r="F9" s="1" t="s">
        <v>27</v>
      </c>
    </row>
    <row r="10" spans="1:8" ht="22.05" customHeight="1" x14ac:dyDescent="0.3">
      <c r="A10" s="10" t="str">
        <f>'09 Fund Returns'!A5</f>
        <v>Weak</v>
      </c>
      <c r="B10" s="5">
        <f>'09 Fund Returns'!B5</f>
        <v>0.25</v>
      </c>
      <c r="C10" s="5">
        <f>'09 Fund Returns'!C5</f>
        <v>-4</v>
      </c>
      <c r="D10" s="5">
        <f>'09 Fund Returns'!D5</f>
        <v>12</v>
      </c>
      <c r="E10" s="5">
        <f>$B$5*C10+$B$6*D10</f>
        <v>4</v>
      </c>
      <c r="F10" s="5">
        <f>(E10-$B$16)^2*B10</f>
        <v>3.0625</v>
      </c>
    </row>
    <row r="11" spans="1:8" ht="22.05" customHeight="1" x14ac:dyDescent="0.3">
      <c r="A11" s="11" t="str">
        <f>'09 Fund Returns'!A6</f>
        <v>Moderate</v>
      </c>
      <c r="B11" s="7">
        <f>'09 Fund Returns'!B6</f>
        <v>0.5</v>
      </c>
      <c r="C11" s="7">
        <f>'09 Fund Returns'!C6</f>
        <v>8</v>
      </c>
      <c r="D11" s="7">
        <f>'09 Fund Returns'!D6</f>
        <v>6</v>
      </c>
      <c r="E11" s="7">
        <f>$B$5*C11+$B$6*D11</f>
        <v>7</v>
      </c>
      <c r="F11" s="7">
        <f>(E11-$B$16)^2*B11</f>
        <v>0.125</v>
      </c>
    </row>
    <row r="12" spans="1:8" ht="22.05" customHeight="1" x14ac:dyDescent="0.3">
      <c r="A12" s="10" t="str">
        <f>'09 Fund Returns'!A7</f>
        <v>Strong</v>
      </c>
      <c r="B12" s="5">
        <f>'09 Fund Returns'!B7</f>
        <v>0.25</v>
      </c>
      <c r="C12" s="5">
        <f>'09 Fund Returns'!C7</f>
        <v>20</v>
      </c>
      <c r="D12" s="5">
        <f>'09 Fund Returns'!D7</f>
        <v>4</v>
      </c>
      <c r="E12" s="5">
        <f>$B$5*C12+$B$6*D12</f>
        <v>12</v>
      </c>
      <c r="F12" s="5">
        <f>(E12-$B$16)^2*B12</f>
        <v>5.0625</v>
      </c>
    </row>
    <row r="15" spans="1:8" ht="31.95" customHeight="1" x14ac:dyDescent="0.3">
      <c r="A15" s="1" t="s">
        <v>29</v>
      </c>
      <c r="B15" s="1" t="s">
        <v>30</v>
      </c>
    </row>
    <row r="16" spans="1:8" ht="22.05" customHeight="1" x14ac:dyDescent="0.3">
      <c r="A16" s="8" t="s">
        <v>174</v>
      </c>
      <c r="B16" s="5">
        <f>SUMPRODUCT(B10:B12,E10:E12)</f>
        <v>7.5</v>
      </c>
    </row>
    <row r="17" spans="1:8" ht="22.05" customHeight="1" x14ac:dyDescent="0.3">
      <c r="A17" s="2" t="s">
        <v>175</v>
      </c>
      <c r="B17" s="7">
        <f>SUM(F10:F12)</f>
        <v>8.25</v>
      </c>
    </row>
    <row r="18" spans="1:8" ht="22.05" customHeight="1" x14ac:dyDescent="0.3">
      <c r="A18" s="8" t="s">
        <v>176</v>
      </c>
      <c r="B18" s="5">
        <f>SQRT(B17)</f>
        <v>2.8722813232690143</v>
      </c>
    </row>
    <row r="20" spans="1:8" ht="22.05" customHeight="1" x14ac:dyDescent="0.3">
      <c r="A20" s="8" t="s">
        <v>197</v>
      </c>
      <c r="B20" s="5">
        <f>B5*'09 Fund Returns'!B11+B6*'09 Fund Returns'!C11</f>
        <v>7.5</v>
      </c>
    </row>
    <row r="21" spans="1:8" ht="22.05" customHeight="1" x14ac:dyDescent="0.3">
      <c r="A21" s="2" t="s">
        <v>198</v>
      </c>
      <c r="B21" s="7">
        <f>B5^2*'09 Fund Returns'!B12</f>
        <v>18</v>
      </c>
    </row>
    <row r="22" spans="1:8" ht="22.05" customHeight="1" x14ac:dyDescent="0.3">
      <c r="A22" s="8" t="s">
        <v>199</v>
      </c>
      <c r="B22" s="5">
        <f>B6^2*'09 Fund Returns'!C12</f>
        <v>2.25</v>
      </c>
    </row>
    <row r="23" spans="1:8" ht="22.05" customHeight="1" x14ac:dyDescent="0.3">
      <c r="A23" s="2" t="s">
        <v>200</v>
      </c>
      <c r="B23" s="7">
        <f>2*B5*B6*'09 Fund Returns'!B23</f>
        <v>-12</v>
      </c>
    </row>
    <row r="24" spans="1:8" ht="22.05" customHeight="1" x14ac:dyDescent="0.3">
      <c r="A24" s="8" t="s">
        <v>201</v>
      </c>
      <c r="B24" s="5">
        <f>SUM(B21:B23)</f>
        <v>8.25</v>
      </c>
    </row>
    <row r="25" spans="1:8" ht="22.05" customHeight="1" x14ac:dyDescent="0.3">
      <c r="A25" s="2" t="s">
        <v>202</v>
      </c>
      <c r="B25" s="7">
        <f>B17-B24</f>
        <v>0</v>
      </c>
    </row>
    <row r="26" spans="1:8" ht="22.05" customHeight="1" x14ac:dyDescent="0.3">
      <c r="A26" s="8" t="s">
        <v>203</v>
      </c>
      <c r="B26" s="5">
        <f>B5*'09 Fund Returns'!B13+B6*'09 Fund Returns'!C13</f>
        <v>5.7426406871192848</v>
      </c>
    </row>
    <row r="28" spans="1:8" ht="36" customHeight="1" x14ac:dyDescent="0.3">
      <c r="A28" s="18" t="s">
        <v>204</v>
      </c>
      <c r="B28" s="19"/>
      <c r="C28" s="19"/>
      <c r="D28" s="19"/>
      <c r="E28" s="19"/>
      <c r="F28" s="19"/>
      <c r="G28" s="19"/>
      <c r="H28" s="19"/>
    </row>
    <row r="30" spans="1:8" ht="25.95" customHeight="1" x14ac:dyDescent="0.3">
      <c r="A30" s="22" t="s">
        <v>14</v>
      </c>
      <c r="B30" s="23"/>
      <c r="C30" s="23"/>
      <c r="D30" s="23"/>
      <c r="E30" s="23"/>
      <c r="F30" s="23"/>
      <c r="G30" s="23"/>
      <c r="H30" s="23"/>
    </row>
    <row r="31" spans="1:8" ht="24" customHeight="1" x14ac:dyDescent="0.3">
      <c r="A31" s="16" t="s">
        <v>205</v>
      </c>
      <c r="B31" s="17"/>
      <c r="C31" s="17"/>
      <c r="D31" s="17"/>
      <c r="E31" s="17"/>
      <c r="F31" s="17"/>
      <c r="G31" s="17"/>
      <c r="H31" s="17"/>
    </row>
    <row r="32" spans="1:8" ht="24" customHeight="1" x14ac:dyDescent="0.3">
      <c r="A32" s="20" t="s">
        <v>206</v>
      </c>
      <c r="B32" s="21"/>
      <c r="C32" s="21"/>
      <c r="D32" s="21"/>
      <c r="E32" s="21"/>
      <c r="F32" s="21"/>
      <c r="G32" s="21"/>
      <c r="H32" s="21"/>
    </row>
    <row r="33" spans="1:8" ht="24" customHeight="1" x14ac:dyDescent="0.3">
      <c r="A33" s="16" t="s">
        <v>207</v>
      </c>
      <c r="B33" s="17"/>
      <c r="C33" s="17"/>
      <c r="D33" s="17"/>
      <c r="E33" s="17"/>
      <c r="F33" s="17"/>
      <c r="G33" s="17"/>
      <c r="H33" s="17"/>
    </row>
    <row r="34" spans="1:8" ht="24" customHeight="1" x14ac:dyDescent="0.3">
      <c r="A34" s="20" t="s">
        <v>208</v>
      </c>
      <c r="B34" s="21"/>
      <c r="C34" s="21"/>
      <c r="D34" s="21"/>
      <c r="E34" s="21"/>
      <c r="F34" s="21"/>
      <c r="G34" s="21"/>
      <c r="H34" s="21"/>
    </row>
    <row r="35" spans="1:8" ht="36" customHeight="1" x14ac:dyDescent="0.3">
      <c r="A35" s="16" t="s">
        <v>209</v>
      </c>
      <c r="B35" s="17"/>
      <c r="C35" s="17"/>
      <c r="D35" s="17"/>
      <c r="E35" s="17"/>
      <c r="F35" s="17"/>
      <c r="G35" s="17"/>
      <c r="H35" s="17"/>
    </row>
    <row r="36" spans="1:8" ht="24" customHeight="1" x14ac:dyDescent="0.3">
      <c r="A36" s="20" t="s">
        <v>210</v>
      </c>
      <c r="B36" s="21"/>
      <c r="C36" s="21"/>
      <c r="D36" s="21"/>
      <c r="E36" s="21"/>
      <c r="F36" s="21"/>
      <c r="G36" s="21"/>
      <c r="H36" s="21"/>
    </row>
  </sheetData>
  <mergeCells count="10">
    <mergeCell ref="A36:H36"/>
    <mergeCell ref="A1:H1"/>
    <mergeCell ref="A32:H32"/>
    <mergeCell ref="A31:H31"/>
    <mergeCell ref="A34:H34"/>
    <mergeCell ref="A30:H30"/>
    <mergeCell ref="A35:H35"/>
    <mergeCell ref="A2:H2"/>
    <mergeCell ref="A28:H28"/>
    <mergeCell ref="A33:H33"/>
  </mergeCells>
  <dataValidations count="1">
    <dataValidation type="decimal" showErrorMessage="1" errorTitle="Check the input" error="Enter a value between 0 and 1." sqref="B5" xr:uid="{00000000-0002-0000-0900-000000000000}">
      <formula1>0</formula1>
      <formula2>1</formula2>
    </dataValidation>
  </dataValidations>
  <pageMargins left="0.3" right="0.3" top="0.5" bottom="0.5" header="0.5" footer="0.5"/>
  <pageSetup paperSize="9" fitToHeight="2" orientation="landscape" r:id="rId1"/>
  <rowBreaks count="1" manualBreakCount="1">
    <brk id="1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01 Customer Outcomes</vt:lpstr>
      <vt:lpstr>02 Daily Sales</vt:lpstr>
      <vt:lpstr>03 Uniform Vouchers</vt:lpstr>
      <vt:lpstr>04 Variability</vt:lpstr>
      <vt:lpstr>05 Sales and Profit</vt:lpstr>
      <vt:lpstr>06 Joint Distribution</vt:lpstr>
      <vt:lpstr>07 Total Sales</vt:lpstr>
      <vt:lpstr>08 Covariance</vt:lpstr>
      <vt:lpstr>09 Fund Returns</vt:lpstr>
      <vt:lpstr>10 Portfolio</vt:lpstr>
      <vt:lpstr>'01 Customer Outcomes'!Print_Area</vt:lpstr>
      <vt:lpstr>'02 Daily Sales'!Print_Area</vt:lpstr>
      <vt:lpstr>'03 Uniform Vouchers'!Print_Area</vt:lpstr>
      <vt:lpstr>'04 Variability'!Print_Area</vt:lpstr>
      <vt:lpstr>'05 Sales and Profit'!Print_Area</vt:lpstr>
      <vt:lpstr>'06 Joint Distribution'!Print_Area</vt:lpstr>
      <vt:lpstr>'07 Total Sales'!Print_Area</vt:lpstr>
      <vt:lpstr>'08 Covariance'!Print_Area</vt:lpstr>
      <vt:lpstr>'09 Fund Returns'!Print_Area</vt:lpstr>
      <vt:lpstr>'10 Portfolio'!Print_Area</vt:lpstr>
      <vt:lpstr>'01 Customer Outcomes'!Print_Titles</vt:lpstr>
      <vt:lpstr>'02 Daily Sales'!Print_Titles</vt:lpstr>
      <vt:lpstr>'03 Uniform Vouchers'!Print_Titles</vt:lpstr>
      <vt:lpstr>'04 Variability'!Print_Titles</vt:lpstr>
      <vt:lpstr>'05 Sales and Profit'!Print_Titles</vt:lpstr>
      <vt:lpstr>'06 Joint Distribution'!Print_Titles</vt:lpstr>
      <vt:lpstr>'07 Total Sales'!Print_Titles</vt:lpstr>
      <vt:lpstr>'08 Covariance'!Print_Titles</vt:lpstr>
      <vt:lpstr>'09 Fund Returns'!Print_Titles</vt:lpstr>
      <vt:lpstr>'10 Portfolio'!Print_Titles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C</cp:lastModifiedBy>
  <cp:lastPrinted>2026-10-08T08:52:08Z</cp:lastPrinted>
  <dcterms:created xsi:type="dcterms:W3CDTF">2026-10-08T08:52:00Z</dcterms:created>
  <dcterms:modified xsi:type="dcterms:W3CDTF">2026-10-08T09:01:19Z</dcterms:modified>
</cp:coreProperties>
</file>