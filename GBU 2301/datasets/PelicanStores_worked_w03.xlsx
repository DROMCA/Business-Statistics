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_w03_fix/staged/"/>
    </mc:Choice>
  </mc:AlternateContent>
  <xr:revisionPtr revIDLastSave="4658" documentId="11_C7B4D9210F3766AE304FAF448F057B496FEACDC2" xr6:coauthVersionLast="47" xr6:coauthVersionMax="47" xr10:uidLastSave="{95850D4A-3A51-4132-AA7E-2B6796E1C8D2}"/>
  <bookViews>
    <workbookView xWindow="-108" yWindow="-108" windowWidth="23256" windowHeight="12456" firstSheet="7" activeTab="7" xr2:uid="{00000000-000D-0000-FFFF-FFFF00000000}"/>
  </bookViews>
  <sheets>
    <sheet name="&amp;UnStack" sheetId="1" state="hidden" r:id="rId1"/>
    <sheet name="&amp;DataIndices" sheetId="2" state="hidden" r:id="rId2"/>
    <sheet name="&amp;DataCopy" sheetId="3" state="hidden" r:id="rId3"/>
    <sheet name="&amp;GraphData" sheetId="4" state="hidden" r:id="rId4"/>
    <sheet name="&amp;WorkArea" sheetId="5" state="hidden" r:id="rId5"/>
    <sheet name="&amp;Miscel_Area" sheetId="6" state="hidden" r:id="rId6"/>
    <sheet name="Data" sheetId="7" r:id="rId7"/>
    <sheet name="01 Location Measures" sheetId="8" r:id="rId8"/>
    <sheet name="02 Variability" sheetId="9" r:id="rId9"/>
    <sheet name="03 Shape Measures" sheetId="10" r:id="rId10"/>
    <sheet name="04 Z Scores and Outliers" sheetId="11" r:id="rId11"/>
    <sheet name="05 Five Number Summary" sheetId="12" r:id="rId12"/>
    <sheet name="06 Box Plots by Type" sheetId="13" r:id="rId13"/>
    <sheet name="07 Association" sheetId="14" r:id="rId14"/>
  </sheets>
  <definedNames>
    <definedName name="_xlnm.Print_Area" localSheetId="7">'01 Location Measures'!$A$1:$H$22</definedName>
    <definedName name="_xlnm.Print_Area" localSheetId="12">'06 Box Plots by Type'!$A$136:$H$142</definedName>
    <definedName name="_xlnm.Print_Area" localSheetId="13">'07 Association'!$A$1:$K$31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4" l="1"/>
  <c r="A109" i="14"/>
  <c r="B108" i="14"/>
  <c r="A108" i="14"/>
  <c r="B107" i="14"/>
  <c r="A107" i="14"/>
  <c r="B106" i="14"/>
  <c r="A106" i="14"/>
  <c r="B105" i="14"/>
  <c r="A105" i="14"/>
  <c r="B104" i="14"/>
  <c r="A104" i="14"/>
  <c r="B103" i="14"/>
  <c r="A103" i="14"/>
  <c r="B102" i="14"/>
  <c r="A102" i="14"/>
  <c r="B101" i="14"/>
  <c r="A101" i="14"/>
  <c r="B100" i="14"/>
  <c r="A100" i="14"/>
  <c r="B99" i="14"/>
  <c r="A99" i="14"/>
  <c r="B98" i="14"/>
  <c r="A98" i="14"/>
  <c r="B97" i="14"/>
  <c r="A97" i="14"/>
  <c r="B96" i="14"/>
  <c r="A96" i="14"/>
  <c r="B95" i="14"/>
  <c r="A95" i="14"/>
  <c r="B94" i="14"/>
  <c r="A94" i="14"/>
  <c r="B93" i="14"/>
  <c r="A93" i="14"/>
  <c r="B92" i="14"/>
  <c r="A92" i="14"/>
  <c r="B91" i="14"/>
  <c r="A91" i="14"/>
  <c r="B90" i="14"/>
  <c r="A90" i="14"/>
  <c r="B89" i="14"/>
  <c r="A89" i="14"/>
  <c r="B88" i="14"/>
  <c r="A88" i="14"/>
  <c r="B87" i="14"/>
  <c r="A87" i="14"/>
  <c r="B86" i="14"/>
  <c r="A86" i="14"/>
  <c r="B85" i="14"/>
  <c r="A85" i="14"/>
  <c r="B84" i="14"/>
  <c r="A84" i="14"/>
  <c r="B83" i="14"/>
  <c r="A83" i="14"/>
  <c r="B82" i="14"/>
  <c r="A82" i="14"/>
  <c r="B81" i="14"/>
  <c r="A81" i="14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2" i="14"/>
  <c r="A72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B59" i="14"/>
  <c r="A59" i="14"/>
  <c r="B58" i="14"/>
  <c r="A58" i="14"/>
  <c r="B57" i="14"/>
  <c r="A57" i="14"/>
  <c r="B56" i="14"/>
  <c r="A56" i="14"/>
  <c r="B55" i="14"/>
  <c r="A55" i="14"/>
  <c r="B54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6" i="14"/>
  <c r="B5" i="14"/>
  <c r="B4" i="14"/>
  <c r="B3" i="14"/>
  <c r="B109" i="13"/>
  <c r="A109" i="13"/>
  <c r="B108" i="13"/>
  <c r="A108" i="13"/>
  <c r="B107" i="13"/>
  <c r="A107" i="13"/>
  <c r="B106" i="13"/>
  <c r="A106" i="13"/>
  <c r="B105" i="13"/>
  <c r="A105" i="13"/>
  <c r="B104" i="13"/>
  <c r="A104" i="13"/>
  <c r="B103" i="13"/>
  <c r="A103" i="13"/>
  <c r="B102" i="13"/>
  <c r="A102" i="13"/>
  <c r="B101" i="13"/>
  <c r="A101" i="13"/>
  <c r="B100" i="13"/>
  <c r="A100" i="13"/>
  <c r="B99" i="13"/>
  <c r="A99" i="13"/>
  <c r="B98" i="13"/>
  <c r="A98" i="13"/>
  <c r="B97" i="13"/>
  <c r="A97" i="13"/>
  <c r="B96" i="13"/>
  <c r="A96" i="13"/>
  <c r="B95" i="13"/>
  <c r="A95" i="13"/>
  <c r="B94" i="13"/>
  <c r="A94" i="13"/>
  <c r="B93" i="13"/>
  <c r="A93" i="13"/>
  <c r="B92" i="13"/>
  <c r="A92" i="13"/>
  <c r="B91" i="13"/>
  <c r="A91" i="13"/>
  <c r="B90" i="13"/>
  <c r="A90" i="13"/>
  <c r="B89" i="13"/>
  <c r="A89" i="13"/>
  <c r="B88" i="13"/>
  <c r="A88" i="13"/>
  <c r="B87" i="13"/>
  <c r="A87" i="13"/>
  <c r="B86" i="13"/>
  <c r="A86" i="13"/>
  <c r="B85" i="13"/>
  <c r="A85" i="13"/>
  <c r="B84" i="13"/>
  <c r="A84" i="13"/>
  <c r="B83" i="13"/>
  <c r="A83" i="13"/>
  <c r="B82" i="13"/>
  <c r="A82" i="13"/>
  <c r="B81" i="13"/>
  <c r="A81" i="13"/>
  <c r="B80" i="13"/>
  <c r="A80" i="13"/>
  <c r="B79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E4" i="12"/>
  <c r="D4" i="12"/>
  <c r="C4" i="12"/>
  <c r="B4" i="12"/>
  <c r="A4" i="12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C107" i="11" s="1"/>
  <c r="E107" i="11" s="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6" i="11"/>
  <c r="B5" i="11"/>
  <c r="B4" i="11"/>
  <c r="B3" i="11"/>
  <c r="C6" i="10"/>
  <c r="C5" i="10" s="1"/>
  <c r="B5" i="10"/>
  <c r="B6" i="10" s="1"/>
  <c r="C4" i="10"/>
  <c r="B4" i="10"/>
  <c r="G5" i="9"/>
  <c r="F5" i="9"/>
  <c r="E5" i="9"/>
  <c r="D5" i="9"/>
  <c r="C5" i="9"/>
  <c r="B5" i="9"/>
  <c r="G4" i="9"/>
  <c r="F4" i="9"/>
  <c r="E4" i="9"/>
  <c r="D4" i="9"/>
  <c r="C4" i="9"/>
  <c r="B4" i="9"/>
  <c r="B9" i="8"/>
  <c r="B8" i="8"/>
  <c r="B7" i="8"/>
  <c r="B6" i="8"/>
  <c r="B5" i="8"/>
  <c r="B4" i="8"/>
  <c r="H5" i="9" l="1"/>
  <c r="C61" i="11"/>
  <c r="E61" i="11" s="1"/>
  <c r="C41" i="11"/>
  <c r="E41" i="11" s="1"/>
  <c r="H4" i="9"/>
  <c r="B7" i="12"/>
  <c r="C114" i="11"/>
  <c r="E114" i="11" s="1"/>
  <c r="C113" i="11"/>
  <c r="E113" i="11" s="1"/>
  <c r="C112" i="11"/>
  <c r="E112" i="11" s="1"/>
  <c r="C111" i="11"/>
  <c r="E111" i="11" s="1"/>
  <c r="C110" i="11"/>
  <c r="E110" i="11" s="1"/>
  <c r="C109" i="11"/>
  <c r="E109" i="11" s="1"/>
  <c r="C108" i="11"/>
  <c r="E108" i="11" s="1"/>
  <c r="C106" i="11"/>
  <c r="E106" i="11" s="1"/>
  <c r="C105" i="11"/>
  <c r="E105" i="11" s="1"/>
  <c r="C104" i="11"/>
  <c r="E104" i="11" s="1"/>
  <c r="C103" i="11"/>
  <c r="E103" i="11" s="1"/>
  <c r="C102" i="11"/>
  <c r="E102" i="11" s="1"/>
  <c r="C101" i="11"/>
  <c r="E101" i="11" s="1"/>
  <c r="C100" i="11"/>
  <c r="E100" i="11" s="1"/>
  <c r="C99" i="11"/>
  <c r="E99" i="11" s="1"/>
  <c r="C98" i="11"/>
  <c r="E98" i="11" s="1"/>
  <c r="C97" i="11"/>
  <c r="E97" i="11" s="1"/>
  <c r="C96" i="11"/>
  <c r="E96" i="11" s="1"/>
  <c r="C95" i="11"/>
  <c r="E95" i="11" s="1"/>
  <c r="C94" i="11"/>
  <c r="E94" i="11" s="1"/>
  <c r="C93" i="11"/>
  <c r="E93" i="11" s="1"/>
  <c r="C92" i="11"/>
  <c r="E92" i="11" s="1"/>
  <c r="C91" i="11"/>
  <c r="E91" i="11" s="1"/>
  <c r="C90" i="11"/>
  <c r="E90" i="11" s="1"/>
  <c r="C89" i="11"/>
  <c r="E89" i="11" s="1"/>
  <c r="C88" i="11"/>
  <c r="E88" i="11" s="1"/>
  <c r="C87" i="11"/>
  <c r="E87" i="11" s="1"/>
  <c r="C86" i="11"/>
  <c r="E86" i="11" s="1"/>
  <c r="C85" i="11"/>
  <c r="E85" i="11" s="1"/>
  <c r="C84" i="11"/>
  <c r="E84" i="11" s="1"/>
  <c r="C83" i="11"/>
  <c r="E83" i="11" s="1"/>
  <c r="C82" i="11"/>
  <c r="E82" i="11" s="1"/>
  <c r="C81" i="11"/>
  <c r="E81" i="11" s="1"/>
  <c r="C80" i="11"/>
  <c r="E80" i="11" s="1"/>
  <c r="C79" i="11"/>
  <c r="E79" i="11" s="1"/>
  <c r="C78" i="11"/>
  <c r="E78" i="11" s="1"/>
  <c r="C77" i="11"/>
  <c r="E77" i="11" s="1"/>
  <c r="C76" i="11"/>
  <c r="E76" i="11" s="1"/>
  <c r="C75" i="11"/>
  <c r="E75" i="11" s="1"/>
  <c r="C74" i="11"/>
  <c r="E74" i="11" s="1"/>
  <c r="C73" i="11"/>
  <c r="E73" i="11" s="1"/>
  <c r="C72" i="11"/>
  <c r="E72" i="11" s="1"/>
  <c r="C71" i="11"/>
  <c r="E71" i="11" s="1"/>
  <c r="C70" i="11"/>
  <c r="E70" i="11" s="1"/>
  <c r="C69" i="11"/>
  <c r="E69" i="11" s="1"/>
  <c r="C68" i="11"/>
  <c r="E68" i="11" s="1"/>
  <c r="C67" i="11"/>
  <c r="E67" i="11" s="1"/>
  <c r="C66" i="11"/>
  <c r="E66" i="11" s="1"/>
  <c r="C65" i="11"/>
  <c r="E65" i="11" s="1"/>
  <c r="C64" i="11"/>
  <c r="E64" i="11" s="1"/>
  <c r="C63" i="11"/>
  <c r="E63" i="11" s="1"/>
  <c r="C62" i="11"/>
  <c r="E62" i="11" s="1"/>
  <c r="C60" i="11"/>
  <c r="E60" i="11" s="1"/>
  <c r="C59" i="11"/>
  <c r="E59" i="11" s="1"/>
  <c r="C58" i="11"/>
  <c r="E58" i="11" s="1"/>
  <c r="C57" i="11"/>
  <c r="E57" i="11" s="1"/>
  <c r="C56" i="11"/>
  <c r="E56" i="11" s="1"/>
  <c r="C55" i="11"/>
  <c r="E55" i="11" s="1"/>
  <c r="C54" i="11"/>
  <c r="E54" i="11" s="1"/>
  <c r="C53" i="11"/>
  <c r="E53" i="11" s="1"/>
  <c r="C52" i="11"/>
  <c r="E52" i="11" s="1"/>
  <c r="C51" i="11"/>
  <c r="E51" i="11" s="1"/>
  <c r="C50" i="11"/>
  <c r="E50" i="11" s="1"/>
  <c r="C49" i="11"/>
  <c r="E49" i="11" s="1"/>
  <c r="C48" i="11"/>
  <c r="E48" i="11" s="1"/>
  <c r="C47" i="11"/>
  <c r="E47" i="11" s="1"/>
  <c r="C46" i="11"/>
  <c r="E46" i="11" s="1"/>
  <c r="C45" i="11"/>
  <c r="E45" i="11" s="1"/>
  <c r="C44" i="11"/>
  <c r="E44" i="11" s="1"/>
  <c r="C43" i="11"/>
  <c r="E43" i="11" s="1"/>
  <c r="C42" i="11"/>
  <c r="E42" i="11" s="1"/>
  <c r="C40" i="11"/>
  <c r="E40" i="11" s="1"/>
  <c r="C39" i="11"/>
  <c r="E39" i="11" s="1"/>
  <c r="C38" i="11"/>
  <c r="E38" i="11" s="1"/>
  <c r="C37" i="11"/>
  <c r="E37" i="11" s="1"/>
  <c r="C36" i="11"/>
  <c r="E36" i="11" s="1"/>
  <c r="C35" i="11"/>
  <c r="E35" i="11" s="1"/>
  <c r="C34" i="11"/>
  <c r="E34" i="11" s="1"/>
  <c r="C33" i="11"/>
  <c r="E33" i="11" s="1"/>
  <c r="C32" i="11"/>
  <c r="E32" i="11" s="1"/>
  <c r="C31" i="11"/>
  <c r="E31" i="11" s="1"/>
  <c r="C30" i="11"/>
  <c r="E30" i="11" s="1"/>
  <c r="C29" i="11"/>
  <c r="E29" i="11" s="1"/>
  <c r="C28" i="11"/>
  <c r="E28" i="11" s="1"/>
  <c r="C27" i="11"/>
  <c r="E27" i="11" s="1"/>
  <c r="C26" i="11"/>
  <c r="E26" i="11" s="1"/>
  <c r="C25" i="11"/>
  <c r="E25" i="11" s="1"/>
  <c r="C24" i="11"/>
  <c r="E24" i="11" s="1"/>
  <c r="C23" i="11"/>
  <c r="E23" i="11" s="1"/>
  <c r="C22" i="11"/>
  <c r="E22" i="11" s="1"/>
  <c r="C21" i="11"/>
  <c r="E21" i="11" s="1"/>
  <c r="C20" i="11"/>
  <c r="E20" i="11" s="1"/>
  <c r="C19" i="11"/>
  <c r="E19" i="11" s="1"/>
  <c r="C18" i="11"/>
  <c r="E18" i="11" s="1"/>
  <c r="C17" i="11"/>
  <c r="E17" i="11" s="1"/>
  <c r="C16" i="11"/>
  <c r="E16" i="11" s="1"/>
  <c r="C15" i="11"/>
  <c r="E15" i="11" s="1"/>
  <c r="B7" i="11"/>
  <c r="E5" i="13"/>
  <c r="D5" i="13"/>
  <c r="C5" i="13"/>
  <c r="B5" i="13"/>
  <c r="E4" i="13"/>
  <c r="D4" i="13"/>
  <c r="C4" i="13"/>
  <c r="B4" i="13"/>
  <c r="B11" i="11"/>
  <c r="B8" i="11" l="1"/>
  <c r="B9" i="11"/>
  <c r="L28" i="13"/>
  <c r="L29" i="13"/>
  <c r="J28" i="13"/>
  <c r="J29" i="13"/>
  <c r="L26" i="13"/>
  <c r="L27" i="13"/>
  <c r="J26" i="13"/>
  <c r="J27" i="13"/>
  <c r="L25" i="13"/>
  <c r="J25" i="13"/>
  <c r="L23" i="13"/>
  <c r="L24" i="13"/>
  <c r="J23" i="13"/>
  <c r="J24" i="13"/>
  <c r="L21" i="13"/>
  <c r="L22" i="13"/>
  <c r="J21" i="13"/>
  <c r="J22" i="13"/>
  <c r="L15" i="13"/>
  <c r="L16" i="13"/>
  <c r="J15" i="13"/>
  <c r="J16" i="13"/>
  <c r="L13" i="13"/>
  <c r="L14" i="13"/>
  <c r="J13" i="13"/>
  <c r="J14" i="13"/>
  <c r="K4" i="13"/>
  <c r="K5" i="13"/>
  <c r="J5" i="13"/>
  <c r="J4" i="13"/>
  <c r="D20" i="11" l="1"/>
  <c r="D15" i="11"/>
  <c r="D16" i="11"/>
  <c r="D17" i="11"/>
  <c r="D18" i="11"/>
  <c r="D19" i="11"/>
  <c r="D26" i="11"/>
  <c r="D21" i="11"/>
  <c r="D22" i="11"/>
  <c r="D23" i="11"/>
  <c r="D24" i="11"/>
  <c r="D25" i="11"/>
  <c r="D96" i="11"/>
  <c r="D50" i="11"/>
  <c r="D51" i="11"/>
  <c r="D52" i="11"/>
  <c r="D53" i="11"/>
  <c r="D54" i="11"/>
  <c r="D55" i="11"/>
  <c r="D56" i="11"/>
  <c r="D57" i="11"/>
  <c r="D58" i="11"/>
  <c r="D59" i="11"/>
  <c r="D60" i="11"/>
  <c r="D62" i="11"/>
  <c r="D69" i="11"/>
  <c r="D70" i="11"/>
  <c r="D71" i="11"/>
  <c r="D72" i="11"/>
  <c r="D73" i="11"/>
  <c r="D74" i="11"/>
  <c r="D75" i="11"/>
  <c r="D76" i="11"/>
  <c r="D77" i="11"/>
  <c r="D78" i="11"/>
  <c r="D79" i="11"/>
  <c r="D86" i="11"/>
  <c r="D68" i="11"/>
  <c r="D80" i="11"/>
  <c r="D81" i="11"/>
  <c r="D82" i="11"/>
  <c r="D83" i="11"/>
  <c r="D84" i="11"/>
  <c r="D85" i="11"/>
  <c r="D87" i="11"/>
  <c r="D88" i="11"/>
  <c r="D89" i="11"/>
  <c r="D90" i="11"/>
  <c r="D91" i="11"/>
  <c r="D92" i="11"/>
  <c r="D93" i="11"/>
  <c r="D94" i="11"/>
  <c r="D95" i="11"/>
  <c r="D105" i="11"/>
  <c r="D106" i="11"/>
  <c r="D109" i="11"/>
  <c r="D112" i="11"/>
  <c r="D114" i="11"/>
  <c r="D32" i="11"/>
  <c r="D38" i="11"/>
  <c r="D97" i="11"/>
  <c r="D111" i="11"/>
  <c r="D27" i="11"/>
  <c r="D28" i="11"/>
  <c r="D30" i="11"/>
  <c r="D40" i="11"/>
  <c r="D42" i="11"/>
  <c r="D43" i="11"/>
  <c r="D44" i="11"/>
  <c r="D46" i="11"/>
  <c r="D48" i="11"/>
  <c r="D49" i="11"/>
  <c r="D34" i="11"/>
  <c r="D98" i="11"/>
  <c r="D29" i="11"/>
  <c r="D31" i="11"/>
  <c r="D33" i="11"/>
  <c r="D39" i="11"/>
  <c r="D45" i="11"/>
  <c r="D47" i="11"/>
  <c r="D66" i="11"/>
  <c r="D67" i="11"/>
  <c r="D63" i="11"/>
  <c r="D64" i="11"/>
  <c r="D65" i="11"/>
  <c r="D108" i="11"/>
  <c r="D35" i="11"/>
  <c r="D36" i="11"/>
  <c r="D37" i="11"/>
  <c r="D99" i="11"/>
  <c r="D100" i="11"/>
  <c r="D101" i="11"/>
  <c r="D102" i="11"/>
  <c r="D103" i="11"/>
  <c r="D104" i="11"/>
  <c r="D110" i="11"/>
  <c r="D113" i="11"/>
  <c r="D107" i="11"/>
  <c r="D61" i="11"/>
  <c r="D41" i="11"/>
  <c r="L108" i="13"/>
  <c r="L125" i="13"/>
  <c r="L119" i="13"/>
  <c r="L124" i="13"/>
  <c r="L116" i="13"/>
  <c r="L123" i="13"/>
  <c r="L118" i="13"/>
  <c r="L122" i="13"/>
  <c r="L114" i="13"/>
  <c r="L121" i="13"/>
  <c r="L117" i="13"/>
  <c r="L120" i="13"/>
  <c r="L115" i="13"/>
  <c r="L109" i="13"/>
  <c r="L132" i="13"/>
  <c r="L131" i="13"/>
  <c r="L130" i="13"/>
  <c r="L129" i="13"/>
  <c r="L128" i="13"/>
  <c r="L127" i="13"/>
  <c r="L126" i="13"/>
  <c r="L113" i="13"/>
  <c r="L112" i="13"/>
  <c r="L111" i="13"/>
  <c r="L110" i="13"/>
  <c r="J112" i="13"/>
  <c r="J111" i="13"/>
  <c r="J125" i="13"/>
  <c r="J124" i="13"/>
  <c r="J132" i="13"/>
  <c r="J123" i="13"/>
  <c r="J131" i="13"/>
  <c r="J122" i="13"/>
  <c r="J130" i="13"/>
  <c r="J121" i="13"/>
  <c r="J129" i="13"/>
  <c r="J120" i="13"/>
  <c r="J128" i="13"/>
  <c r="J119" i="13"/>
  <c r="J127" i="13"/>
  <c r="J118" i="13"/>
  <c r="J126" i="13"/>
  <c r="J114" i="13"/>
  <c r="J117" i="13"/>
  <c r="J116" i="13"/>
  <c r="J115" i="13"/>
  <c r="J113" i="13"/>
  <c r="J110" i="13"/>
  <c r="J109" i="13"/>
  <c r="J107" i="13"/>
  <c r="J108" i="13"/>
  <c r="L106" i="13"/>
  <c r="L107" i="13"/>
  <c r="J105" i="13"/>
  <c r="J106" i="13"/>
  <c r="L104" i="13"/>
  <c r="L105" i="13"/>
  <c r="J103" i="13"/>
  <c r="J104" i="13"/>
  <c r="L102" i="13"/>
  <c r="L103" i="13"/>
  <c r="L101" i="13"/>
  <c r="J101" i="13"/>
  <c r="J102" i="13"/>
  <c r="L99" i="13"/>
  <c r="L100" i="13"/>
  <c r="J99" i="13"/>
  <c r="J100" i="13"/>
  <c r="L97" i="13"/>
  <c r="L98" i="13"/>
  <c r="J97" i="13"/>
  <c r="J98" i="13"/>
  <c r="J96" i="13"/>
  <c r="L95" i="13"/>
  <c r="L96" i="13"/>
  <c r="J94" i="13"/>
  <c r="J95" i="13"/>
  <c r="L93" i="13"/>
  <c r="L94" i="13"/>
  <c r="J92" i="13"/>
  <c r="J93" i="13"/>
  <c r="L91" i="13"/>
  <c r="L92" i="13"/>
  <c r="J90" i="13"/>
  <c r="J91" i="13"/>
  <c r="L89" i="13"/>
  <c r="L90" i="13"/>
  <c r="J88" i="13"/>
  <c r="J89" i="13"/>
  <c r="L87" i="13"/>
  <c r="L88" i="13"/>
  <c r="J86" i="13"/>
  <c r="J87" i="13"/>
  <c r="L85" i="13"/>
  <c r="L86" i="13"/>
  <c r="J85" i="13"/>
  <c r="L83" i="13"/>
  <c r="L84" i="13"/>
  <c r="J83" i="13"/>
  <c r="J84" i="13"/>
  <c r="L81" i="13"/>
  <c r="L82" i="13"/>
  <c r="J81" i="13"/>
  <c r="J82" i="13"/>
  <c r="L79" i="13"/>
  <c r="L80" i="13"/>
  <c r="J79" i="13"/>
  <c r="J80" i="13"/>
  <c r="L77" i="13"/>
  <c r="L78" i="13"/>
  <c r="J77" i="13"/>
  <c r="J78" i="13"/>
  <c r="L75" i="13"/>
  <c r="L76" i="13"/>
  <c r="J75" i="13"/>
  <c r="J76" i="13"/>
  <c r="L73" i="13"/>
  <c r="L74" i="13"/>
  <c r="J73" i="13"/>
  <c r="J74" i="13"/>
  <c r="J72" i="13"/>
  <c r="L71" i="13"/>
  <c r="L72" i="13"/>
  <c r="J70" i="13"/>
  <c r="J71" i="13"/>
  <c r="L69" i="13"/>
  <c r="L70" i="13"/>
  <c r="J68" i="13"/>
  <c r="J69" i="13"/>
  <c r="L67" i="13"/>
  <c r="L68" i="13"/>
  <c r="J66" i="13"/>
  <c r="J67" i="13"/>
  <c r="L65" i="13"/>
  <c r="L66" i="13"/>
  <c r="J64" i="13"/>
  <c r="J65" i="13"/>
  <c r="L63" i="13"/>
  <c r="L64" i="13"/>
  <c r="J62" i="13"/>
  <c r="J63" i="13"/>
  <c r="L61" i="13"/>
  <c r="L62" i="13"/>
  <c r="J60" i="13"/>
  <c r="J61" i="13"/>
  <c r="L59" i="13"/>
  <c r="L60" i="13"/>
  <c r="J58" i="13"/>
  <c r="J59" i="13"/>
  <c r="L57" i="13"/>
  <c r="L58" i="13"/>
  <c r="J56" i="13"/>
  <c r="J57" i="13"/>
  <c r="L55" i="13"/>
  <c r="L56" i="13"/>
  <c r="J54" i="13"/>
  <c r="J55" i="13"/>
  <c r="L53" i="13"/>
  <c r="L54" i="13"/>
  <c r="J52" i="13"/>
  <c r="J53" i="13"/>
  <c r="L51" i="13"/>
  <c r="L52" i="13"/>
  <c r="J50" i="13"/>
  <c r="J51" i="13"/>
  <c r="L49" i="13"/>
  <c r="L50" i="13"/>
  <c r="J48" i="13"/>
  <c r="J49" i="13"/>
  <c r="L47" i="13"/>
  <c r="L48" i="13"/>
  <c r="J47" i="13"/>
  <c r="L45" i="13"/>
  <c r="L46" i="13"/>
  <c r="J45" i="13"/>
  <c r="J46" i="13"/>
  <c r="L43" i="13"/>
  <c r="L44" i="13"/>
  <c r="J43" i="13"/>
  <c r="J44" i="13"/>
  <c r="L41" i="13"/>
  <c r="L42" i="13"/>
  <c r="J41" i="13"/>
  <c r="J42" i="13"/>
  <c r="L39" i="13"/>
  <c r="L40" i="13"/>
  <c r="J39" i="13"/>
  <c r="J40" i="13"/>
  <c r="L37" i="13"/>
  <c r="L38" i="13"/>
  <c r="J37" i="13"/>
  <c r="J38" i="13"/>
  <c r="L35" i="13"/>
  <c r="L36" i="13"/>
  <c r="J35" i="13"/>
  <c r="J36" i="13"/>
  <c r="L33" i="13"/>
  <c r="L34" i="13"/>
  <c r="J33" i="13"/>
  <c r="J34" i="13"/>
  <c r="F5" i="13"/>
  <c r="M5" i="13"/>
  <c r="L5" i="13"/>
  <c r="L12" i="13" s="1"/>
  <c r="F4" i="13"/>
  <c r="M4" i="13"/>
  <c r="L4" i="13"/>
  <c r="J12" i="13" s="1"/>
  <c r="B10" i="11" l="1"/>
  <c r="L19" i="13"/>
  <c r="L20" i="13"/>
  <c r="J19" i="13"/>
  <c r="J20" i="13"/>
  <c r="L17" i="13"/>
  <c r="L18" i="13"/>
  <c r="J17" i="13"/>
  <c r="J18" i="13"/>
  <c r="L10" i="13"/>
  <c r="L11" i="13"/>
  <c r="J10" i="13"/>
  <c r="J11" i="13"/>
</calcChain>
</file>

<file path=xl/sharedStrings.xml><?xml version="1.0" encoding="utf-8"?>
<sst xmlns="http://schemas.openxmlformats.org/spreadsheetml/2006/main" count="534" uniqueCount="115">
  <si>
    <t>Customer</t>
  </si>
  <si>
    <t>Type of Customer</t>
  </si>
  <si>
    <t>Items</t>
  </si>
  <si>
    <t>Net Sales</t>
  </si>
  <si>
    <t>Method of Payment</t>
  </si>
  <si>
    <t>Gender</t>
  </si>
  <si>
    <t>Marital Status</t>
  </si>
  <si>
    <t>Age</t>
  </si>
  <si>
    <t>Regular</t>
  </si>
  <si>
    <t>Discover</t>
  </si>
  <si>
    <t>Male</t>
  </si>
  <si>
    <t>Married</t>
  </si>
  <si>
    <t>Promotional</t>
  </si>
  <si>
    <t>Proprietary Card</t>
  </si>
  <si>
    <t>Female</t>
  </si>
  <si>
    <t>MasterCard</t>
  </si>
  <si>
    <t>Visa</t>
  </si>
  <si>
    <t>Single</t>
  </si>
  <si>
    <t>American Express</t>
  </si>
  <si>
    <t>Week 3: Measures of Location</t>
  </si>
  <si>
    <t>Measure</t>
  </si>
  <si>
    <t>Net Sales ($)</t>
  </si>
  <si>
    <t>Mean</t>
  </si>
  <si>
    <t>Median</t>
  </si>
  <si>
    <t>Mode</t>
  </si>
  <si>
    <t>First quartile, Q1</t>
  </si>
  <si>
    <t>Third quartile, Q3</t>
  </si>
  <si>
    <t>90th percentile, P90</t>
  </si>
  <si>
    <t>How to recreate this output in Excel</t>
  </si>
  <si>
    <t>1. Use the Net Sales values in Data!D2:D101.</t>
  </si>
  <si>
    <t>2. Calculate the mean with =AVERAGE(Data!D2:D101), the median with =MEDIAN(Data!D2:D101), and the mode with =MODE.SNGL(Data!D2:D101).</t>
  </si>
  <si>
    <t>3. For a percentile, sort Net Sales from smallest to largest and calculate its location with Lp=(p/100)*(n+1).</t>
  </si>
  <si>
    <t>4. If Lp is not a whole number, interpolate between the observations immediately below and above that location.</t>
  </si>
  <si>
    <t>5. In Excel, enter =PERCENTILE.EXC(Data!D2:D101,0.25) for Q1. Use 0.75 for Q3 and 0.90 for P90. These formulas use the location rule above.</t>
  </si>
  <si>
    <t>Week 3: Measures of Variability</t>
  </si>
  <si>
    <t>Variable</t>
  </si>
  <si>
    <t>Range</t>
  </si>
  <si>
    <t>IQR</t>
  </si>
  <si>
    <t>Sample variance</t>
  </si>
  <si>
    <t>Sample standard deviation</t>
  </si>
  <si>
    <t>Population standard deviation</t>
  </si>
  <si>
    <t>CV (%)</t>
  </si>
  <si>
    <t>Age (years)</t>
  </si>
  <si>
    <t>1. Use Net Sales in Data!D2:D101 and Age in Data!H2:H101.</t>
  </si>
  <si>
    <t>2. Calculate the range with =MAX(range)-MIN(range).</t>
  </si>
  <si>
    <t>3. For Net Sales, enter =PERCENTILE.EXC(Data!D2:D101,0.75)-PERCENTILE.EXC(Data!D2:D101,0.25) for IQR. Use H2:H101 for Age.</t>
  </si>
  <si>
    <t>4. Use =VAR.S(range) and =STDEV.S(range) for sample variance and sample standard deviation.</t>
  </si>
  <si>
    <t>5. Use =STDEV.P(range) only when treating all observations as the complete population.</t>
  </si>
  <si>
    <t>6. Calculate the coefficient of variation with =STDEV.S(range)/AVERAGE(range)*100. Compare CV only for variables with a meaningful zero.</t>
  </si>
  <si>
    <t>Week 3: Skewness and Kurtosis</t>
  </si>
  <si>
    <t>Direct moment calculation</t>
  </si>
  <si>
    <t>Adjusted sample calculation</t>
  </si>
  <si>
    <t>Skewness</t>
  </si>
  <si>
    <t>Pearson kurtosis</t>
  </si>
  <si>
    <t>Excess kurtosis</t>
  </si>
  <si>
    <t>Interpretation</t>
  </si>
  <si>
    <t>Net Sales is positively skewed and has heavier tails than a normal distribution.</t>
  </si>
  <si>
    <t>1. Copy Net Sales from Data!D2:D101 into one column and calculate the mean.</t>
  </si>
  <si>
    <t>2. Create helper columns for deviation from the mean, deviation squared, deviation cubed, and deviation to the fourth power.</t>
  </si>
  <si>
    <t>3. For direct skewness, divide the average cubed deviation by the average squared deviation raised to 1.5.</t>
  </si>
  <si>
    <t>4. For direct Pearson kurtosis, divide the average fourth-power deviation by the square of the average squared deviation. Subtract 3 for excess kurtosis.</t>
  </si>
  <si>
    <t>5. Use =SKEW(Data!D2:D101) for adjusted sample skewness and =KURT(Data!D2:D101) for adjusted sample excess kurtosis. Add 3 to obtain adjusted Pearson kurtosis.</t>
  </si>
  <si>
    <t>Week 3: Standard Scores and Outlier Checks</t>
  </si>
  <si>
    <t>Q1</t>
  </si>
  <si>
    <t>Q3</t>
  </si>
  <si>
    <t>Lower fence</t>
  </si>
  <si>
    <t>Upper fence</t>
  </si>
  <si>
    <t>IQR flags</t>
  </si>
  <si>
    <t>|z| &gt; 3 flags</t>
  </si>
  <si>
    <t>z-score</t>
  </si>
  <si>
    <t>IQR rule</t>
  </si>
  <si>
    <t>|z| &gt; 3 rule</t>
  </si>
  <si>
    <t>1. Copy Customer and Net Sales from the Data sheet.</t>
  </si>
  <si>
    <t>2. Calculate the mean and sample standard deviation with =AVERAGE(Data!D2:D101) and =STDEV.S(Data!D2:D101).</t>
  </si>
  <si>
    <t>3. For the first customer, calculate z with =(B15-$B$3)/$B$4 and fill the formula down.</t>
  </si>
  <si>
    <t>4. Calculate Q1, Q3, and IQR, then calculate the fences as Q1-1.5*IQR and Q3+1.5*IQR.</t>
  </si>
  <si>
    <t>5. Use =IF(OR(B15&lt;$B$8,B15&gt;$B$9),"Flag","") for the IQR rule and fill down.</t>
  </si>
  <si>
    <t>6. Use =IF(ABS(C15)&gt;3,"Flag","") for the z-score rule and fill down. Investigate flagged observations before deciding how to handle them.</t>
  </si>
  <si>
    <t>Week 3: Five-Number Summary</t>
  </si>
  <si>
    <t>Minimum</t>
  </si>
  <si>
    <t>Maximum</t>
  </si>
  <si>
    <t>2. Use =MIN(range) and =MAX(range) for the endpoints and =MEDIAN(range) for the center.</t>
  </si>
  <si>
    <t>3. Calculate Q1 and Q3 with the Week 3 percentile location formula.</t>
  </si>
  <si>
    <t>4. Calculate IQR as Q3-Q1. Read the five values together before interpreting spread or possible outliers.</t>
  </si>
  <si>
    <t>Week 3: Net Sales by Customer Type</t>
  </si>
  <si>
    <t>Customer type</t>
  </si>
  <si>
    <t>N</t>
  </si>
  <si>
    <t>IQR outliers</t>
  </si>
  <si>
    <t>Lower endpoint</t>
  </si>
  <si>
    <t>Upper endpoint</t>
  </si>
  <si>
    <t>Regular: sales</t>
  </si>
  <si>
    <t>Regular: position</t>
  </si>
  <si>
    <t>Promotional: sales</t>
  </si>
  <si>
    <t>Promotional: position</t>
  </si>
  <si>
    <t>Regular: sales (outliers)</t>
  </si>
  <si>
    <t>Regular: position (outliers)</t>
  </si>
  <si>
    <t>Promotional: sales (outliers)</t>
  </si>
  <si>
    <t>Promotional: position (outliers)</t>
  </si>
  <si>
    <t>1. Separate Net Sales by customer type: Data &gt; Filter, select Regular, and copy its Net Sales to A10. Repeat for Promotional in B10. The supplied formulas update these lists automatically.</t>
  </si>
  <si>
    <t>2. In B4, enter =COUNT(A10:A109). In C4, D4, and E4, enter =PERCENTILE.EXC(A10:A109,0.25), =MEDIAN(A10:A109), and =PERCENTILE.EXC(A10:A109,0.75). Repeat for column B in row 5.</t>
  </si>
  <si>
    <t>3. Calculate IQR as Q3-Q1, then fences as Q1-1.5*IQR and Q3+1.5*IQR. The line endpoints are the smallest and largest observations within the fences; plot observations outside them separately.</t>
  </si>
  <si>
    <t>4. Unhide columns J:M to see the plot coordinates. Select J10:K29, then Insert &gt; Scatter &gt; Straight Lines. These points draw the Regular box, median, and end lines.</t>
  </si>
  <si>
    <t>5. Use Select Data &gt; Add: X=L10:L29, Y=M10:M29 for Promotional. Add outliers with X=J33:J132, Y=K33:K132 and X=L33:L132, Y=M33:M132. Show outlier series as markers only.</t>
  </si>
  <si>
    <t>6. Set the vertical axis minimum to 0, maximum to 3, and major unit to 1. Use number format [=1]"Regular";[=2]"Promotional";"". Allow data in hidden columns.</t>
  </si>
  <si>
    <t>Week 3: Items and Net Sales</t>
  </si>
  <si>
    <t>Sample covariance</t>
  </si>
  <si>
    <t>Correlation</t>
  </si>
  <si>
    <t>Trendline slope</t>
  </si>
  <si>
    <t>Trendline intercept</t>
  </si>
  <si>
    <t>1. Use Items in Data!C2:C101 and Net Sales in Data!D2:D101.</t>
  </si>
  <si>
    <t>2. Calculate sample covariance with =COVARIANCE.S(Data!C2:C101,Data!D2:D101).</t>
  </si>
  <si>
    <t>3. Calculate correlation with =CORREL(Data!C2:C101,Data!D2:D101).</t>
  </si>
  <si>
    <t>4. Select both variables, then choose Insert, Scatter, Scatter with only markers.</t>
  </si>
  <si>
    <t>5. Right-click a marker, add a linear trendline, and display the equation and R-squared value.</t>
  </si>
  <si>
    <t>6. Use =SLOPE(Data!D2:D101,Data!C2:C101) and =INTERCEPT(Data!D2:D101,Data!C2:C101) to reproduce the fitted line numerically.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</si>
</sst>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"/>
  </numFmts>
  <fonts count="7" x14ac:knownFonts="1">
    <font>
      <sz val="12"/>
      <name val="Times New Roman"/>
    </font>
    <font>
      <b/>
      <sz val="12"/>
      <name val="Times New Roman"/>
      <family val="1"/>
    </font>
    <font>
      <b/>
      <sz val="18"/>
      <color rgb="FFFFFFFF"/>
      <name val="Aptos Display"/>
      <family val="2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2"/>
      <color rgb="FFFFFFFF"/>
      <name val="Aptos"/>
      <family val="2"/>
    </font>
    <font>
      <b/>
      <sz val="10"/>
      <color rgb="FF17365D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9E89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165" fontId="4" fillId="3" borderId="1" xfId="0" applyNumberFormat="1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165" fontId="4" fillId="7" borderId="1" xfId="0" applyNumberFormat="1" applyFont="1" applyFill="1" applyBorder="1" applyAlignment="1">
      <alignment vertical="center" wrapText="1"/>
    </xf>
    <xf numFmtId="164" fontId="0" fillId="0" borderId="0" xfId="0" applyNumberFormat="1"/>
    <xf numFmtId="0" fontId="4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0"/>
            </a:pPr>
            <a:r>
              <a:rPr lang="en-US"/>
              <a:t>Net Sales by Customer Type</a:t>
            </a:r>
          </a:p>
        </c:rich>
      </c:tx>
      <c:layout>
        <c:manualLayout>
          <c:xMode val="edge"/>
          <c:yMode val="edge"/>
          <c:x val="0.36185637953016492"/>
          <c:y val="3.3597883597883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544117647058824"/>
          <c:y val="0.1411111111111111"/>
          <c:w val="0.75950980392156864"/>
          <c:h val="0.69547619047619047"/>
        </c:manualLayout>
      </c:layout>
      <c:scatterChart>
        <c:scatterStyle val="lineMarker"/>
        <c:varyColors val="0"/>
        <c:ser>
          <c:idx val="0"/>
          <c:order val="0"/>
          <c:tx>
            <c:v>Regular</c:v>
          </c:tx>
          <c:spPr>
            <a:ln w="25400">
              <a:solidFill>
                <a:srgbClr val="123B5D"/>
              </a:solidFill>
              <a:prstDash val="solid"/>
            </a:ln>
          </c:spPr>
          <c:marker>
            <c:symbol val="none"/>
          </c:marker>
          <c:xVal>
            <c:numRef>
              <c:f>'06 Box Plots by Type'!$J$10:$J$29</c:f>
              <c:numCache>
                <c:formatCode>General</c:formatCode>
                <c:ptCount val="20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 formatCode="\$#,##0.00">
                  <c:v>39.375</c:v>
                </c:pt>
                <c:pt idx="4" formatCode="\$#,##0.00">
                  <c:v>39.375</c:v>
                </c:pt>
                <c:pt idx="5" formatCode="\$#,##0.00">
                  <c:v>74.25</c:v>
                </c:pt>
                <c:pt idx="6" formatCode="\$#,##0.00">
                  <c:v>74.25</c:v>
                </c:pt>
                <c:pt idx="7">
                  <c:v>123.5</c:v>
                </c:pt>
                <c:pt idx="8">
                  <c:v>123.5</c:v>
                </c:pt>
                <c:pt idx="9">
                  <c:v>123.5</c:v>
                </c:pt>
                <c:pt idx="10">
                  <c:v>123.5</c:v>
                </c:pt>
                <c:pt idx="11" formatCode="\$#,##0.00">
                  <c:v>74.25</c:v>
                </c:pt>
                <c:pt idx="12" formatCode="\$#,##0.00">
                  <c:v>74.25</c:v>
                </c:pt>
                <c:pt idx="13" formatCode="\$#,##0.00">
                  <c:v>39.375</c:v>
                </c:pt>
                <c:pt idx="14" formatCode="\$#,##0.00">
                  <c:v>39.375</c:v>
                </c:pt>
                <c:pt idx="15" formatCode="\$#,##0.00">
                  <c:v>51</c:v>
                </c:pt>
                <c:pt idx="16" formatCode="\$#,##0.00">
                  <c:v>51</c:v>
                </c:pt>
                <c:pt idx="17" formatCode="\$#,##0.00">
                  <c:v>51</c:v>
                </c:pt>
                <c:pt idx="18" formatCode="\$#,##0.00">
                  <c:v>51</c:v>
                </c:pt>
                <c:pt idx="19" formatCode="\$#,##0.00">
                  <c:v>51</c:v>
                </c:pt>
              </c:numCache>
            </c:numRef>
          </c:xVal>
          <c:yVal>
            <c:numRef>
              <c:f>'06 Box Plots by Type'!$K$10:$K$29</c:f>
              <c:numCache>
                <c:formatCode>General</c:formatCode>
                <c:ptCount val="20"/>
                <c:pt idx="0">
                  <c:v>0.9</c:v>
                </c:pt>
                <c:pt idx="1">
                  <c:v>1.1000000000000001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1.1000000000000001</c:v>
                </c:pt>
                <c:pt idx="10">
                  <c:v>1</c:v>
                </c:pt>
                <c:pt idx="11">
                  <c:v>1</c:v>
                </c:pt>
                <c:pt idx="12">
                  <c:v>1.2</c:v>
                </c:pt>
                <c:pt idx="13">
                  <c:v>1.2</c:v>
                </c:pt>
                <c:pt idx="14">
                  <c:v>0.8</c:v>
                </c:pt>
                <c:pt idx="15">
                  <c:v>0.8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2-4A0F-8DB3-B1BE78A3CFCB}"/>
            </c:ext>
          </c:extLst>
        </c:ser>
        <c:ser>
          <c:idx val="1"/>
          <c:order val="1"/>
          <c:tx>
            <c:v>Outliers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23B5D"/>
              </a:solidFill>
              <a:ln>
                <a:solidFill>
                  <a:srgbClr val="123B5D"/>
                </a:solidFill>
                <a:prstDash val="solid"/>
              </a:ln>
            </c:spPr>
          </c:marker>
          <c:xVal>
            <c:numRef>
              <c:f>'06 Box Plots by Type'!$J$33:$J$132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144</c:v>
                </c:pt>
                <c:pt idx="26">
                  <c:v>#N/A</c:v>
                </c:pt>
                <c:pt idx="27">
                  <c:v>159.75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'06 Box Plots by Type'!$K$33:$K$132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A2-4A0F-8DB3-B1BE78A3CFCB}"/>
            </c:ext>
          </c:extLst>
        </c:ser>
        <c:ser>
          <c:idx val="2"/>
          <c:order val="2"/>
          <c:tx>
            <c:v>Promotional</c:v>
          </c:tx>
          <c:spPr>
            <a:ln w="25400">
              <a:solidFill>
                <a:srgbClr val="1F6F8B"/>
              </a:solidFill>
              <a:prstDash val="solid"/>
            </a:ln>
          </c:spPr>
          <c:marker>
            <c:symbol val="none"/>
          </c:marker>
          <c:xVal>
            <c:numRef>
              <c:f>'06 Box Plots by Type'!$L$10:$L$29</c:f>
              <c:numCache>
                <c:formatCode>General</c:formatCode>
                <c:ptCount val="20"/>
                <c:pt idx="0">
                  <c:v>13.23</c:v>
                </c:pt>
                <c:pt idx="1">
                  <c:v>13.23</c:v>
                </c:pt>
                <c:pt idx="2">
                  <c:v>13.23</c:v>
                </c:pt>
                <c:pt idx="3" formatCode="\$#,##0.00">
                  <c:v>43.5</c:v>
                </c:pt>
                <c:pt idx="4" formatCode="\$#,##0.00">
                  <c:v>43.5</c:v>
                </c:pt>
                <c:pt idx="5" formatCode="\$#,##0.00">
                  <c:v>109.38499999999999</c:v>
                </c:pt>
                <c:pt idx="6" formatCode="\$#,##0.00">
                  <c:v>109.38499999999999</c:v>
                </c:pt>
                <c:pt idx="7">
                  <c:v>198.8</c:v>
                </c:pt>
                <c:pt idx="8">
                  <c:v>198.8</c:v>
                </c:pt>
                <c:pt idx="9">
                  <c:v>198.8</c:v>
                </c:pt>
                <c:pt idx="10">
                  <c:v>198.8</c:v>
                </c:pt>
                <c:pt idx="11" formatCode="\$#,##0.00">
                  <c:v>109.38499999999999</c:v>
                </c:pt>
                <c:pt idx="12" formatCode="\$#,##0.00">
                  <c:v>109.38499999999999</c:v>
                </c:pt>
                <c:pt idx="13" formatCode="\$#,##0.00">
                  <c:v>43.5</c:v>
                </c:pt>
                <c:pt idx="14" formatCode="\$#,##0.00">
                  <c:v>43.5</c:v>
                </c:pt>
                <c:pt idx="15" formatCode="\$#,##0.00">
                  <c:v>63.42</c:v>
                </c:pt>
                <c:pt idx="16" formatCode="\$#,##0.00">
                  <c:v>63.42</c:v>
                </c:pt>
                <c:pt idx="17" formatCode="\$#,##0.00">
                  <c:v>63.42</c:v>
                </c:pt>
                <c:pt idx="18" formatCode="\$#,##0.00">
                  <c:v>63.42</c:v>
                </c:pt>
                <c:pt idx="19" formatCode="\$#,##0.00">
                  <c:v>63.42</c:v>
                </c:pt>
              </c:numCache>
            </c:numRef>
          </c:xVal>
          <c:yVal>
            <c:numRef>
              <c:f>'06 Box Plots by Type'!$M$10:$M$29</c:f>
              <c:numCache>
                <c:formatCode>General</c:formatCode>
                <c:ptCount val="20"/>
                <c:pt idx="0">
                  <c:v>1.9</c:v>
                </c:pt>
                <c:pt idx="1">
                  <c:v>2.1</c:v>
                </c:pt>
                <c:pt idx="2">
                  <c:v>2</c:v>
                </c:pt>
                <c:pt idx="3">
                  <c:v>2</c:v>
                </c:pt>
                <c:pt idx="4">
                  <c:v>1.8</c:v>
                </c:pt>
                <c:pt idx="5">
                  <c:v>1.8</c:v>
                </c:pt>
                <c:pt idx="6">
                  <c:v>2</c:v>
                </c:pt>
                <c:pt idx="7">
                  <c:v>2</c:v>
                </c:pt>
                <c:pt idx="8">
                  <c:v>1.9</c:v>
                </c:pt>
                <c:pt idx="9">
                  <c:v>2.1</c:v>
                </c:pt>
                <c:pt idx="10">
                  <c:v>2</c:v>
                </c:pt>
                <c:pt idx="11">
                  <c:v>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1.8</c:v>
                </c:pt>
                <c:pt idx="15">
                  <c:v>1.8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2-4A0F-8DB3-B1BE78A3CFCB}"/>
            </c:ext>
          </c:extLst>
        </c:ser>
        <c:ser>
          <c:idx val="3"/>
          <c:order val="3"/>
          <c:tx>
            <c:v>Outliers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6F8B"/>
              </a:solidFill>
              <a:ln>
                <a:solidFill>
                  <a:srgbClr val="1F6F8B"/>
                </a:solidFill>
                <a:prstDash val="solid"/>
              </a:ln>
            </c:spPr>
          </c:marker>
          <c:xVal>
            <c:numRef>
              <c:f>'06 Box Plots by Type'!$L$33:$L$132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266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229.5</c:v>
                </c:pt>
                <c:pt idx="66">
                  <c:v>253</c:v>
                </c:pt>
                <c:pt idx="67">
                  <c:v>287.58999999999997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'06 Box Plots by Type'!$M$33:$M$132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A2-4A0F-8DB3-B1BE78A3C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DCDC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/>
                  <a:t>Net Sales ($)</a:t>
                </a:r>
              </a:p>
            </c:rich>
          </c:tx>
          <c:layout>
            <c:manualLayout>
              <c:xMode val="edge"/>
              <c:yMode val="edge"/>
              <c:x val="0.52076225490196082"/>
              <c:y val="0.92944441618742768"/>
            </c:manualLayout>
          </c:layout>
          <c:overlay val="1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20"/>
        <c:crosses val="min"/>
        <c:crossBetween val="midCat"/>
      </c:valAx>
      <c:valAx>
        <c:axId val="20"/>
        <c:scaling>
          <c:orientation val="minMax"/>
          <c:max val="3"/>
          <c:min val="0"/>
        </c:scaling>
        <c:delete val="0"/>
        <c:axPos val="l"/>
        <c:numFmt formatCode="[=1]&quot;Regular&quot;;[=2]&quot;Promotional&quot;;&quot;&quot;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10"/>
        <c:crosses val="autoZero"/>
        <c:crossBetween val="midCat"/>
        <c:majorUnit val="1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1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0"/>
            </a:pPr>
            <a:r>
              <a:rPr lang="en-US"/>
              <a:t>Items and Net Sales</a:t>
            </a:r>
          </a:p>
        </c:rich>
      </c:tx>
      <c:layout>
        <c:manualLayout>
          <c:xMode val="edge"/>
          <c:yMode val="edge"/>
          <c:x val="0.40786125130359036"/>
          <c:y val="3.20707070707070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23148148148148"/>
          <c:y val="0.1346969696969697"/>
          <c:w val="0.83294753086419748"/>
          <c:h val="0.70876262626262632"/>
        </c:manualLayout>
      </c:layout>
      <c:scatterChart>
        <c:scatterStyle val="lineMarker"/>
        <c:varyColors val="0"/>
        <c:ser>
          <c:idx val="0"/>
          <c:order val="0"/>
          <c:tx>
            <c:v>Customers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6F8B"/>
              </a:solidFill>
              <a:ln>
                <a:noFill/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'07 Association'!$A$10:$A$109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6</c:v>
                </c:pt>
                <c:pt idx="38">
                  <c:v>5</c:v>
                </c:pt>
                <c:pt idx="39">
                  <c:v>2</c:v>
                </c:pt>
                <c:pt idx="40">
                  <c:v>13</c:v>
                </c:pt>
                <c:pt idx="41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1</c:v>
                </c:pt>
                <c:pt idx="49">
                  <c:v>9</c:v>
                </c:pt>
                <c:pt idx="50">
                  <c:v>6</c:v>
                </c:pt>
                <c:pt idx="51">
                  <c:v>5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6</c:v>
                </c:pt>
                <c:pt idx="57">
                  <c:v>2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5</c:v>
                </c:pt>
                <c:pt idx="68">
                  <c:v>2</c:v>
                </c:pt>
                <c:pt idx="69">
                  <c:v>8</c:v>
                </c:pt>
                <c:pt idx="70">
                  <c:v>5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6</c:v>
                </c:pt>
                <c:pt idx="82">
                  <c:v>4</c:v>
                </c:pt>
                <c:pt idx="83">
                  <c:v>3</c:v>
                </c:pt>
                <c:pt idx="84">
                  <c:v>2</c:v>
                </c:pt>
                <c:pt idx="85">
                  <c:v>1</c:v>
                </c:pt>
                <c:pt idx="86">
                  <c:v>6</c:v>
                </c:pt>
                <c:pt idx="87">
                  <c:v>4</c:v>
                </c:pt>
                <c:pt idx="88">
                  <c:v>1</c:v>
                </c:pt>
                <c:pt idx="89">
                  <c:v>6</c:v>
                </c:pt>
                <c:pt idx="90">
                  <c:v>4</c:v>
                </c:pt>
                <c:pt idx="91">
                  <c:v>1</c:v>
                </c:pt>
                <c:pt idx="92">
                  <c:v>5</c:v>
                </c:pt>
                <c:pt idx="93">
                  <c:v>17</c:v>
                </c:pt>
                <c:pt idx="94">
                  <c:v>3</c:v>
                </c:pt>
                <c:pt idx="95">
                  <c:v>1</c:v>
                </c:pt>
                <c:pt idx="96">
                  <c:v>9</c:v>
                </c:pt>
                <c:pt idx="97">
                  <c:v>10</c:v>
                </c:pt>
                <c:pt idx="98">
                  <c:v>2</c:v>
                </c:pt>
                <c:pt idx="99">
                  <c:v>1</c:v>
                </c:pt>
              </c:numCache>
            </c:numRef>
          </c:xVal>
          <c:yVal>
            <c:numRef>
              <c:f>'07 Association'!$B$10:$B$109</c:f>
              <c:numCache>
                <c:formatCode>\$#,##0.00</c:formatCode>
                <c:ptCount val="100"/>
                <c:pt idx="0">
                  <c:v>39.5</c:v>
                </c:pt>
                <c:pt idx="1">
                  <c:v>102.4</c:v>
                </c:pt>
                <c:pt idx="2">
                  <c:v>22.5</c:v>
                </c:pt>
                <c:pt idx="3">
                  <c:v>100.4</c:v>
                </c:pt>
                <c:pt idx="4">
                  <c:v>54</c:v>
                </c:pt>
                <c:pt idx="5">
                  <c:v>44.5</c:v>
                </c:pt>
                <c:pt idx="6">
                  <c:v>78</c:v>
                </c:pt>
                <c:pt idx="7">
                  <c:v>22.5</c:v>
                </c:pt>
                <c:pt idx="8">
                  <c:v>56.52</c:v>
                </c:pt>
                <c:pt idx="9">
                  <c:v>44.5</c:v>
                </c:pt>
                <c:pt idx="10">
                  <c:v>29.5</c:v>
                </c:pt>
                <c:pt idx="11">
                  <c:v>31.6</c:v>
                </c:pt>
                <c:pt idx="12">
                  <c:v>160.4</c:v>
                </c:pt>
                <c:pt idx="13">
                  <c:v>64.5</c:v>
                </c:pt>
                <c:pt idx="14">
                  <c:v>49.5</c:v>
                </c:pt>
                <c:pt idx="15">
                  <c:v>71.400000000000006</c:v>
                </c:pt>
                <c:pt idx="16">
                  <c:v>94</c:v>
                </c:pt>
                <c:pt idx="17">
                  <c:v>54.5</c:v>
                </c:pt>
                <c:pt idx="18">
                  <c:v>38.5</c:v>
                </c:pt>
                <c:pt idx="19">
                  <c:v>44.8</c:v>
                </c:pt>
                <c:pt idx="20">
                  <c:v>31.6</c:v>
                </c:pt>
                <c:pt idx="21">
                  <c:v>70.819999999999993</c:v>
                </c:pt>
                <c:pt idx="22">
                  <c:v>266</c:v>
                </c:pt>
                <c:pt idx="23">
                  <c:v>74</c:v>
                </c:pt>
                <c:pt idx="24">
                  <c:v>39.5</c:v>
                </c:pt>
                <c:pt idx="25">
                  <c:v>30.02</c:v>
                </c:pt>
                <c:pt idx="26">
                  <c:v>44.5</c:v>
                </c:pt>
                <c:pt idx="27">
                  <c:v>192.8</c:v>
                </c:pt>
                <c:pt idx="28">
                  <c:v>71.2</c:v>
                </c:pt>
                <c:pt idx="29">
                  <c:v>18</c:v>
                </c:pt>
                <c:pt idx="30">
                  <c:v>63.2</c:v>
                </c:pt>
                <c:pt idx="31">
                  <c:v>75</c:v>
                </c:pt>
                <c:pt idx="32">
                  <c:v>63.2</c:v>
                </c:pt>
                <c:pt idx="33">
                  <c:v>40</c:v>
                </c:pt>
                <c:pt idx="34">
                  <c:v>105.5</c:v>
                </c:pt>
                <c:pt idx="35">
                  <c:v>29.5</c:v>
                </c:pt>
                <c:pt idx="36">
                  <c:v>102.5</c:v>
                </c:pt>
                <c:pt idx="37">
                  <c:v>117.5</c:v>
                </c:pt>
                <c:pt idx="38">
                  <c:v>13.23</c:v>
                </c:pt>
                <c:pt idx="39">
                  <c:v>52.5</c:v>
                </c:pt>
                <c:pt idx="40">
                  <c:v>198.8</c:v>
                </c:pt>
                <c:pt idx="41">
                  <c:v>19.5</c:v>
                </c:pt>
                <c:pt idx="42">
                  <c:v>123.5</c:v>
                </c:pt>
                <c:pt idx="43">
                  <c:v>62.4</c:v>
                </c:pt>
                <c:pt idx="44">
                  <c:v>23.8</c:v>
                </c:pt>
                <c:pt idx="45">
                  <c:v>39.6</c:v>
                </c:pt>
                <c:pt idx="46">
                  <c:v>25</c:v>
                </c:pt>
                <c:pt idx="47">
                  <c:v>63.64</c:v>
                </c:pt>
                <c:pt idx="48">
                  <c:v>14.82</c:v>
                </c:pt>
                <c:pt idx="49">
                  <c:v>145.19999999999999</c:v>
                </c:pt>
                <c:pt idx="50">
                  <c:v>176.62</c:v>
                </c:pt>
                <c:pt idx="51">
                  <c:v>118.8</c:v>
                </c:pt>
                <c:pt idx="52">
                  <c:v>58</c:v>
                </c:pt>
                <c:pt idx="53">
                  <c:v>74</c:v>
                </c:pt>
                <c:pt idx="54">
                  <c:v>49.5</c:v>
                </c:pt>
                <c:pt idx="55">
                  <c:v>141.6</c:v>
                </c:pt>
                <c:pt idx="56">
                  <c:v>123.1</c:v>
                </c:pt>
                <c:pt idx="57">
                  <c:v>80.400000000000006</c:v>
                </c:pt>
                <c:pt idx="58">
                  <c:v>65.2</c:v>
                </c:pt>
                <c:pt idx="59">
                  <c:v>113</c:v>
                </c:pt>
                <c:pt idx="60">
                  <c:v>108.8</c:v>
                </c:pt>
                <c:pt idx="61">
                  <c:v>59.91</c:v>
                </c:pt>
                <c:pt idx="62">
                  <c:v>53.6</c:v>
                </c:pt>
                <c:pt idx="63">
                  <c:v>31.6</c:v>
                </c:pt>
                <c:pt idx="64">
                  <c:v>49.5</c:v>
                </c:pt>
                <c:pt idx="65">
                  <c:v>39.6</c:v>
                </c:pt>
                <c:pt idx="66">
                  <c:v>59.5</c:v>
                </c:pt>
                <c:pt idx="67">
                  <c:v>146.80000000000001</c:v>
                </c:pt>
                <c:pt idx="68">
                  <c:v>47.2</c:v>
                </c:pt>
                <c:pt idx="69">
                  <c:v>95.05</c:v>
                </c:pt>
                <c:pt idx="70">
                  <c:v>155.32</c:v>
                </c:pt>
                <c:pt idx="71">
                  <c:v>58</c:v>
                </c:pt>
                <c:pt idx="72">
                  <c:v>69</c:v>
                </c:pt>
                <c:pt idx="73">
                  <c:v>46.5</c:v>
                </c:pt>
                <c:pt idx="74">
                  <c:v>45.22</c:v>
                </c:pt>
                <c:pt idx="75">
                  <c:v>84.74</c:v>
                </c:pt>
                <c:pt idx="76">
                  <c:v>39</c:v>
                </c:pt>
                <c:pt idx="77">
                  <c:v>111.14</c:v>
                </c:pt>
                <c:pt idx="78">
                  <c:v>86.8</c:v>
                </c:pt>
                <c:pt idx="79">
                  <c:v>89</c:v>
                </c:pt>
                <c:pt idx="80">
                  <c:v>78</c:v>
                </c:pt>
                <c:pt idx="81">
                  <c:v>53.2</c:v>
                </c:pt>
                <c:pt idx="82">
                  <c:v>58.5</c:v>
                </c:pt>
                <c:pt idx="83">
                  <c:v>46</c:v>
                </c:pt>
                <c:pt idx="84">
                  <c:v>37.5</c:v>
                </c:pt>
                <c:pt idx="85">
                  <c:v>20.8</c:v>
                </c:pt>
                <c:pt idx="86">
                  <c:v>144</c:v>
                </c:pt>
                <c:pt idx="87">
                  <c:v>107</c:v>
                </c:pt>
                <c:pt idx="88">
                  <c:v>31.6</c:v>
                </c:pt>
                <c:pt idx="89">
                  <c:v>57.6</c:v>
                </c:pt>
                <c:pt idx="90">
                  <c:v>95.2</c:v>
                </c:pt>
                <c:pt idx="91">
                  <c:v>22.42</c:v>
                </c:pt>
                <c:pt idx="92">
                  <c:v>159.75</c:v>
                </c:pt>
                <c:pt idx="93">
                  <c:v>229.5</c:v>
                </c:pt>
                <c:pt idx="94">
                  <c:v>66</c:v>
                </c:pt>
                <c:pt idx="95">
                  <c:v>39.5</c:v>
                </c:pt>
                <c:pt idx="96">
                  <c:v>253</c:v>
                </c:pt>
                <c:pt idx="97">
                  <c:v>287.58999999999997</c:v>
                </c:pt>
                <c:pt idx="98">
                  <c:v>47.6</c:v>
                </c:pt>
                <c:pt idx="99">
                  <c:v>28.44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C-44BC-9036-90AD87483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/>
                  <a:t>Items</a:t>
                </a:r>
              </a:p>
            </c:rich>
          </c:tx>
          <c:layout>
            <c:manualLayout>
              <c:xMode val="edge"/>
              <c:yMode val="edge"/>
              <c:x val="0.52131249999999996"/>
              <c:y val="0.93265155214251905"/>
            </c:manualLayout>
          </c:layout>
          <c:overlay val="1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DCDC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/>
                  <a:t>Net Sales ($)</a:t>
                </a:r>
              </a:p>
            </c:rich>
          </c:tx>
          <c:layout>
            <c:manualLayout>
              <c:xMode val="edge"/>
              <c:yMode val="edge"/>
              <c:x val="1.1759259259259259E-2"/>
              <c:y val="0.38949873737373736"/>
            </c:manualLayout>
          </c:layout>
          <c:overlay val="1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1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0</xdr:rowOff>
    </xdr:from>
    <xdr:ext cx="612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6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zoomScaleNormal="100" workbookViewId="0"/>
  </sheetViews>
  <sheetFormatPr defaultRowHeight="15.6" x14ac:dyDescent="0.3"/>
  <cols>
    <col min="1" max="1" width="9.09765625" bestFit="1" customWidth="1"/>
    <col min="2" max="2" width="10.59765625" bestFit="1" customWidth="1"/>
    <col min="3" max="3" width="5.59765625" bestFit="1" customWidth="1"/>
    <col min="4" max="4" width="8.8984375" bestFit="1" customWidth="1"/>
    <col min="5" max="5" width="15.5" bestFit="1" customWidth="1"/>
    <col min="6" max="6" width="7.296875" bestFit="1" customWidth="1"/>
    <col min="7" max="7" width="7.3984375" bestFit="1" customWidth="1"/>
    <col min="8" max="8" width="4.296875" bestFit="1" customWidth="1"/>
    <col min="11" max="11" width="9.8984375" customWidth="1"/>
    <col min="13" max="13" width="9" style="4" customWidth="1"/>
  </cols>
  <sheetData>
    <row r="1" spans="1:13" ht="31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/>
      <c r="K1" s="2"/>
      <c r="M1" s="5"/>
    </row>
    <row r="2" spans="1:13" x14ac:dyDescent="0.3">
      <c r="A2" s="3">
        <v>1</v>
      </c>
      <c r="B2" s="4" t="s">
        <v>8</v>
      </c>
      <c r="C2">
        <v>1</v>
      </c>
      <c r="D2" s="4">
        <v>39.5</v>
      </c>
      <c r="E2" t="s">
        <v>9</v>
      </c>
      <c r="F2" t="s">
        <v>10</v>
      </c>
      <c r="G2" t="s">
        <v>11</v>
      </c>
      <c r="H2" s="3">
        <v>32</v>
      </c>
      <c r="I2" s="4"/>
    </row>
    <row r="3" spans="1:13" x14ac:dyDescent="0.3">
      <c r="A3" s="3">
        <v>2</v>
      </c>
      <c r="B3" s="4" t="s">
        <v>12</v>
      </c>
      <c r="C3">
        <v>1</v>
      </c>
      <c r="D3" s="4">
        <v>102.4</v>
      </c>
      <c r="E3" t="s">
        <v>13</v>
      </c>
      <c r="F3" t="s">
        <v>14</v>
      </c>
      <c r="G3" t="s">
        <v>11</v>
      </c>
      <c r="H3" s="3">
        <v>36</v>
      </c>
      <c r="I3" s="4"/>
    </row>
    <row r="4" spans="1:13" x14ac:dyDescent="0.3">
      <c r="A4" s="3">
        <v>3</v>
      </c>
      <c r="B4" s="4" t="s">
        <v>8</v>
      </c>
      <c r="C4">
        <v>1</v>
      </c>
      <c r="D4" s="4">
        <v>22.5</v>
      </c>
      <c r="E4" t="s">
        <v>13</v>
      </c>
      <c r="F4" t="s">
        <v>14</v>
      </c>
      <c r="G4" t="s">
        <v>11</v>
      </c>
      <c r="H4" s="3">
        <v>32</v>
      </c>
    </row>
    <row r="5" spans="1:13" x14ac:dyDescent="0.3">
      <c r="A5" s="3">
        <v>4</v>
      </c>
      <c r="B5" s="4" t="s">
        <v>12</v>
      </c>
      <c r="C5">
        <v>5</v>
      </c>
      <c r="D5" s="4">
        <v>100.4</v>
      </c>
      <c r="E5" t="s">
        <v>13</v>
      </c>
      <c r="F5" t="s">
        <v>14</v>
      </c>
      <c r="G5" t="s">
        <v>11</v>
      </c>
      <c r="H5" s="3">
        <v>28</v>
      </c>
    </row>
    <row r="6" spans="1:13" x14ac:dyDescent="0.3">
      <c r="A6" s="3">
        <v>5</v>
      </c>
      <c r="B6" s="4" t="s">
        <v>8</v>
      </c>
      <c r="C6">
        <v>2</v>
      </c>
      <c r="D6" s="4">
        <v>54</v>
      </c>
      <c r="E6" t="s">
        <v>15</v>
      </c>
      <c r="F6" t="s">
        <v>14</v>
      </c>
      <c r="G6" t="s">
        <v>11</v>
      </c>
      <c r="H6" s="3">
        <v>34</v>
      </c>
    </row>
    <row r="7" spans="1:13" x14ac:dyDescent="0.3">
      <c r="A7" s="3">
        <v>6</v>
      </c>
      <c r="B7" s="4" t="s">
        <v>8</v>
      </c>
      <c r="C7">
        <v>1</v>
      </c>
      <c r="D7" s="4">
        <v>44.5</v>
      </c>
      <c r="E7" t="s">
        <v>15</v>
      </c>
      <c r="F7" t="s">
        <v>14</v>
      </c>
      <c r="G7" t="s">
        <v>11</v>
      </c>
      <c r="H7" s="3">
        <v>44</v>
      </c>
    </row>
    <row r="8" spans="1:13" x14ac:dyDescent="0.3">
      <c r="A8" s="3">
        <v>7</v>
      </c>
      <c r="B8" s="4" t="s">
        <v>12</v>
      </c>
      <c r="C8">
        <v>2</v>
      </c>
      <c r="D8" s="4">
        <v>78</v>
      </c>
      <c r="E8" t="s">
        <v>13</v>
      </c>
      <c r="F8" t="s">
        <v>14</v>
      </c>
      <c r="G8" t="s">
        <v>11</v>
      </c>
      <c r="H8" s="3">
        <v>30</v>
      </c>
    </row>
    <row r="9" spans="1:13" x14ac:dyDescent="0.3">
      <c r="A9" s="3">
        <v>8</v>
      </c>
      <c r="B9" s="4" t="s">
        <v>8</v>
      </c>
      <c r="C9">
        <v>1</v>
      </c>
      <c r="D9" s="4">
        <v>22.5</v>
      </c>
      <c r="E9" t="s">
        <v>16</v>
      </c>
      <c r="F9" t="s">
        <v>14</v>
      </c>
      <c r="G9" t="s">
        <v>11</v>
      </c>
      <c r="H9" s="3">
        <v>40</v>
      </c>
    </row>
    <row r="10" spans="1:13" x14ac:dyDescent="0.3">
      <c r="A10" s="3">
        <v>9</v>
      </c>
      <c r="B10" s="4" t="s">
        <v>12</v>
      </c>
      <c r="C10">
        <v>2</v>
      </c>
      <c r="D10" s="4">
        <v>56.52</v>
      </c>
      <c r="E10" t="s">
        <v>13</v>
      </c>
      <c r="F10" t="s">
        <v>14</v>
      </c>
      <c r="G10" t="s">
        <v>11</v>
      </c>
      <c r="H10" s="3">
        <v>46</v>
      </c>
    </row>
    <row r="11" spans="1:13" x14ac:dyDescent="0.3">
      <c r="A11" s="3">
        <v>10</v>
      </c>
      <c r="B11" s="4" t="s">
        <v>8</v>
      </c>
      <c r="C11">
        <v>1</v>
      </c>
      <c r="D11" s="4">
        <v>44.5</v>
      </c>
      <c r="E11" t="s">
        <v>13</v>
      </c>
      <c r="F11" t="s">
        <v>14</v>
      </c>
      <c r="G11" t="s">
        <v>11</v>
      </c>
      <c r="H11" s="3">
        <v>36</v>
      </c>
    </row>
    <row r="12" spans="1:13" x14ac:dyDescent="0.3">
      <c r="A12" s="3">
        <v>11</v>
      </c>
      <c r="B12" s="4" t="s">
        <v>8</v>
      </c>
      <c r="C12">
        <v>1</v>
      </c>
      <c r="D12" s="4">
        <v>29.5</v>
      </c>
      <c r="E12" t="s">
        <v>13</v>
      </c>
      <c r="F12" t="s">
        <v>14</v>
      </c>
      <c r="G12" t="s">
        <v>11</v>
      </c>
      <c r="H12" s="3">
        <v>48</v>
      </c>
    </row>
    <row r="13" spans="1:13" x14ac:dyDescent="0.3">
      <c r="A13" s="3">
        <v>12</v>
      </c>
      <c r="B13" s="4" t="s">
        <v>12</v>
      </c>
      <c r="C13">
        <v>1</v>
      </c>
      <c r="D13" s="4">
        <v>31.6</v>
      </c>
      <c r="E13" t="s">
        <v>13</v>
      </c>
      <c r="F13" t="s">
        <v>14</v>
      </c>
      <c r="G13" t="s">
        <v>11</v>
      </c>
      <c r="H13" s="3">
        <v>40</v>
      </c>
    </row>
    <row r="14" spans="1:13" x14ac:dyDescent="0.3">
      <c r="A14" s="3">
        <v>13</v>
      </c>
      <c r="B14" s="4" t="s">
        <v>12</v>
      </c>
      <c r="C14">
        <v>9</v>
      </c>
      <c r="D14" s="4">
        <v>160.4</v>
      </c>
      <c r="E14" t="s">
        <v>16</v>
      </c>
      <c r="F14" t="s">
        <v>14</v>
      </c>
      <c r="G14" t="s">
        <v>11</v>
      </c>
      <c r="H14" s="3">
        <v>40</v>
      </c>
    </row>
    <row r="15" spans="1:13" x14ac:dyDescent="0.3">
      <c r="A15" s="3">
        <v>14</v>
      </c>
      <c r="B15" s="4" t="s">
        <v>12</v>
      </c>
      <c r="C15">
        <v>2</v>
      </c>
      <c r="D15" s="4">
        <v>64.5</v>
      </c>
      <c r="E15" t="s">
        <v>16</v>
      </c>
      <c r="F15" t="s">
        <v>14</v>
      </c>
      <c r="G15" t="s">
        <v>11</v>
      </c>
      <c r="H15" s="3">
        <v>46</v>
      </c>
    </row>
    <row r="16" spans="1:13" x14ac:dyDescent="0.3">
      <c r="A16" s="3">
        <v>15</v>
      </c>
      <c r="B16" s="4" t="s">
        <v>8</v>
      </c>
      <c r="C16">
        <v>1</v>
      </c>
      <c r="D16" s="4">
        <v>49.5</v>
      </c>
      <c r="E16" t="s">
        <v>16</v>
      </c>
      <c r="F16" t="s">
        <v>10</v>
      </c>
      <c r="G16" t="s">
        <v>17</v>
      </c>
      <c r="H16" s="3">
        <v>24</v>
      </c>
    </row>
    <row r="17" spans="1:8" x14ac:dyDescent="0.3">
      <c r="A17" s="3">
        <v>16</v>
      </c>
      <c r="B17" s="4" t="s">
        <v>12</v>
      </c>
      <c r="C17">
        <v>2</v>
      </c>
      <c r="D17" s="4">
        <v>71.400000000000006</v>
      </c>
      <c r="E17" t="s">
        <v>13</v>
      </c>
      <c r="F17" t="s">
        <v>10</v>
      </c>
      <c r="G17" t="s">
        <v>17</v>
      </c>
      <c r="H17" s="3">
        <v>36</v>
      </c>
    </row>
    <row r="18" spans="1:8" x14ac:dyDescent="0.3">
      <c r="A18" s="3">
        <v>17</v>
      </c>
      <c r="B18" s="4" t="s">
        <v>12</v>
      </c>
      <c r="C18">
        <v>3</v>
      </c>
      <c r="D18" s="4">
        <v>94</v>
      </c>
      <c r="E18" t="s">
        <v>13</v>
      </c>
      <c r="F18" t="s">
        <v>14</v>
      </c>
      <c r="G18" t="s">
        <v>17</v>
      </c>
      <c r="H18" s="3">
        <v>22</v>
      </c>
    </row>
    <row r="19" spans="1:8" x14ac:dyDescent="0.3">
      <c r="A19" s="3">
        <v>18</v>
      </c>
      <c r="B19" s="4" t="s">
        <v>8</v>
      </c>
      <c r="C19">
        <v>3</v>
      </c>
      <c r="D19" s="4">
        <v>54.5</v>
      </c>
      <c r="E19" t="s">
        <v>9</v>
      </c>
      <c r="F19" t="s">
        <v>14</v>
      </c>
      <c r="G19" t="s">
        <v>11</v>
      </c>
      <c r="H19" s="3">
        <v>40</v>
      </c>
    </row>
    <row r="20" spans="1:8" x14ac:dyDescent="0.3">
      <c r="A20" s="3">
        <v>19</v>
      </c>
      <c r="B20" s="4" t="s">
        <v>12</v>
      </c>
      <c r="C20">
        <v>2</v>
      </c>
      <c r="D20" s="4">
        <v>38.5</v>
      </c>
      <c r="E20" t="s">
        <v>15</v>
      </c>
      <c r="F20" t="s">
        <v>14</v>
      </c>
      <c r="G20" t="s">
        <v>11</v>
      </c>
      <c r="H20" s="3">
        <v>32</v>
      </c>
    </row>
    <row r="21" spans="1:8" x14ac:dyDescent="0.3">
      <c r="A21" s="3">
        <v>20</v>
      </c>
      <c r="B21" s="4" t="s">
        <v>12</v>
      </c>
      <c r="C21">
        <v>6</v>
      </c>
      <c r="D21" s="4">
        <v>44.8</v>
      </c>
      <c r="E21" t="s">
        <v>13</v>
      </c>
      <c r="F21" t="s">
        <v>14</v>
      </c>
      <c r="G21" t="s">
        <v>11</v>
      </c>
      <c r="H21" s="3">
        <v>56</v>
      </c>
    </row>
    <row r="22" spans="1:8" x14ac:dyDescent="0.3">
      <c r="A22" s="3">
        <v>21</v>
      </c>
      <c r="B22" s="4" t="s">
        <v>12</v>
      </c>
      <c r="C22">
        <v>1</v>
      </c>
      <c r="D22" s="4">
        <v>31.6</v>
      </c>
      <c r="E22" t="s">
        <v>13</v>
      </c>
      <c r="F22" t="s">
        <v>14</v>
      </c>
      <c r="G22" t="s">
        <v>17</v>
      </c>
      <c r="H22" s="3">
        <v>28</v>
      </c>
    </row>
    <row r="23" spans="1:8" x14ac:dyDescent="0.3">
      <c r="A23" s="3">
        <v>22</v>
      </c>
      <c r="B23" s="4" t="s">
        <v>12</v>
      </c>
      <c r="C23">
        <v>4</v>
      </c>
      <c r="D23" s="4">
        <v>70.819999999999993</v>
      </c>
      <c r="E23" t="s">
        <v>13</v>
      </c>
      <c r="F23" t="s">
        <v>14</v>
      </c>
      <c r="G23" t="s">
        <v>11</v>
      </c>
      <c r="H23" s="3">
        <v>38</v>
      </c>
    </row>
    <row r="24" spans="1:8" x14ac:dyDescent="0.3">
      <c r="A24" s="3">
        <v>23</v>
      </c>
      <c r="B24" s="4" t="s">
        <v>12</v>
      </c>
      <c r="C24">
        <v>7</v>
      </c>
      <c r="D24" s="4">
        <v>266</v>
      </c>
      <c r="E24" t="s">
        <v>18</v>
      </c>
      <c r="F24" t="s">
        <v>14</v>
      </c>
      <c r="G24" t="s">
        <v>11</v>
      </c>
      <c r="H24" s="3">
        <v>50</v>
      </c>
    </row>
    <row r="25" spans="1:8" x14ac:dyDescent="0.3">
      <c r="A25" s="3">
        <v>24</v>
      </c>
      <c r="B25" s="4" t="s">
        <v>8</v>
      </c>
      <c r="C25">
        <v>2</v>
      </c>
      <c r="D25" s="4">
        <v>74</v>
      </c>
      <c r="E25" t="s">
        <v>13</v>
      </c>
      <c r="F25" t="s">
        <v>14</v>
      </c>
      <c r="G25" t="s">
        <v>11</v>
      </c>
      <c r="H25" s="3">
        <v>42</v>
      </c>
    </row>
    <row r="26" spans="1:8" x14ac:dyDescent="0.3">
      <c r="A26" s="3">
        <v>25</v>
      </c>
      <c r="B26" s="4" t="s">
        <v>12</v>
      </c>
      <c r="C26">
        <v>2</v>
      </c>
      <c r="D26" s="4">
        <v>39.5</v>
      </c>
      <c r="E26" t="s">
        <v>16</v>
      </c>
      <c r="F26" t="s">
        <v>10</v>
      </c>
      <c r="G26" t="s">
        <v>11</v>
      </c>
      <c r="H26" s="3">
        <v>48</v>
      </c>
    </row>
    <row r="27" spans="1:8" x14ac:dyDescent="0.3">
      <c r="A27" s="3">
        <v>26</v>
      </c>
      <c r="B27" s="4" t="s">
        <v>12</v>
      </c>
      <c r="C27">
        <v>1</v>
      </c>
      <c r="D27" s="4">
        <v>30.02</v>
      </c>
      <c r="E27" t="s">
        <v>13</v>
      </c>
      <c r="F27" t="s">
        <v>14</v>
      </c>
      <c r="G27" t="s">
        <v>11</v>
      </c>
      <c r="H27" s="3">
        <v>60</v>
      </c>
    </row>
    <row r="28" spans="1:8" x14ac:dyDescent="0.3">
      <c r="A28" s="3">
        <v>27</v>
      </c>
      <c r="B28" s="4" t="s">
        <v>8</v>
      </c>
      <c r="C28">
        <v>1</v>
      </c>
      <c r="D28" s="4">
        <v>44.5</v>
      </c>
      <c r="E28" t="s">
        <v>13</v>
      </c>
      <c r="F28" t="s">
        <v>14</v>
      </c>
      <c r="G28" t="s">
        <v>11</v>
      </c>
      <c r="H28" s="3">
        <v>54</v>
      </c>
    </row>
    <row r="29" spans="1:8" x14ac:dyDescent="0.3">
      <c r="A29" s="3">
        <v>28</v>
      </c>
      <c r="B29" s="4" t="s">
        <v>12</v>
      </c>
      <c r="C29">
        <v>5</v>
      </c>
      <c r="D29" s="4">
        <v>192.8</v>
      </c>
      <c r="E29" t="s">
        <v>13</v>
      </c>
      <c r="F29" t="s">
        <v>14</v>
      </c>
      <c r="G29" t="s">
        <v>17</v>
      </c>
      <c r="H29" s="3">
        <v>42</v>
      </c>
    </row>
    <row r="30" spans="1:8" x14ac:dyDescent="0.3">
      <c r="A30" s="3">
        <v>29</v>
      </c>
      <c r="B30" s="4" t="s">
        <v>12</v>
      </c>
      <c r="C30">
        <v>3</v>
      </c>
      <c r="D30" s="4">
        <v>71.2</v>
      </c>
      <c r="E30" t="s">
        <v>13</v>
      </c>
      <c r="F30" t="s">
        <v>14</v>
      </c>
      <c r="G30" t="s">
        <v>11</v>
      </c>
      <c r="H30" s="3">
        <v>32</v>
      </c>
    </row>
    <row r="31" spans="1:8" x14ac:dyDescent="0.3">
      <c r="A31" s="3">
        <v>30</v>
      </c>
      <c r="B31" s="4" t="s">
        <v>12</v>
      </c>
      <c r="C31">
        <v>1</v>
      </c>
      <c r="D31" s="4">
        <v>18</v>
      </c>
      <c r="E31" t="s">
        <v>13</v>
      </c>
      <c r="F31" t="s">
        <v>14</v>
      </c>
      <c r="G31" t="s">
        <v>11</v>
      </c>
      <c r="H31" s="3">
        <v>70</v>
      </c>
    </row>
    <row r="32" spans="1:8" x14ac:dyDescent="0.3">
      <c r="A32" s="3">
        <v>31</v>
      </c>
      <c r="B32" s="4" t="s">
        <v>12</v>
      </c>
      <c r="C32">
        <v>2</v>
      </c>
      <c r="D32" s="4">
        <v>63.2</v>
      </c>
      <c r="E32" t="s">
        <v>15</v>
      </c>
      <c r="F32" t="s">
        <v>14</v>
      </c>
      <c r="G32" t="s">
        <v>11</v>
      </c>
      <c r="H32" s="3">
        <v>28</v>
      </c>
    </row>
    <row r="33" spans="1:8" x14ac:dyDescent="0.3">
      <c r="A33" s="3">
        <v>32</v>
      </c>
      <c r="B33" s="4" t="s">
        <v>8</v>
      </c>
      <c r="C33">
        <v>1</v>
      </c>
      <c r="D33" s="4">
        <v>75</v>
      </c>
      <c r="E33" t="s">
        <v>13</v>
      </c>
      <c r="F33" t="s">
        <v>14</v>
      </c>
      <c r="G33" t="s">
        <v>11</v>
      </c>
      <c r="H33" s="3">
        <v>52</v>
      </c>
    </row>
    <row r="34" spans="1:8" x14ac:dyDescent="0.3">
      <c r="A34" s="3">
        <v>33</v>
      </c>
      <c r="B34" s="4" t="s">
        <v>12</v>
      </c>
      <c r="C34">
        <v>3</v>
      </c>
      <c r="D34" s="4">
        <v>63.2</v>
      </c>
      <c r="E34" t="s">
        <v>13</v>
      </c>
      <c r="F34" t="s">
        <v>14</v>
      </c>
      <c r="G34" t="s">
        <v>11</v>
      </c>
      <c r="H34" s="3">
        <v>44</v>
      </c>
    </row>
    <row r="35" spans="1:8" x14ac:dyDescent="0.3">
      <c r="A35" s="3">
        <v>34</v>
      </c>
      <c r="B35" s="4" t="s">
        <v>8</v>
      </c>
      <c r="C35">
        <v>1</v>
      </c>
      <c r="D35" s="4">
        <v>40</v>
      </c>
      <c r="E35" t="s">
        <v>13</v>
      </c>
      <c r="F35" t="s">
        <v>14</v>
      </c>
      <c r="G35" t="s">
        <v>11</v>
      </c>
      <c r="H35" s="3">
        <v>34</v>
      </c>
    </row>
    <row r="36" spans="1:8" x14ac:dyDescent="0.3">
      <c r="A36" s="3">
        <v>35</v>
      </c>
      <c r="B36" s="4" t="s">
        <v>12</v>
      </c>
      <c r="C36">
        <v>5</v>
      </c>
      <c r="D36" s="4">
        <v>105.5</v>
      </c>
      <c r="E36" t="s">
        <v>15</v>
      </c>
      <c r="F36" t="s">
        <v>14</v>
      </c>
      <c r="G36" t="s">
        <v>11</v>
      </c>
      <c r="H36" s="3">
        <v>56</v>
      </c>
    </row>
    <row r="37" spans="1:8" x14ac:dyDescent="0.3">
      <c r="A37" s="3">
        <v>36</v>
      </c>
      <c r="B37" s="4" t="s">
        <v>8</v>
      </c>
      <c r="C37">
        <v>1</v>
      </c>
      <c r="D37" s="4">
        <v>29.5</v>
      </c>
      <c r="E37" t="s">
        <v>15</v>
      </c>
      <c r="F37" t="s">
        <v>10</v>
      </c>
      <c r="G37" t="s">
        <v>17</v>
      </c>
      <c r="H37" s="3">
        <v>36</v>
      </c>
    </row>
    <row r="38" spans="1:8" x14ac:dyDescent="0.3">
      <c r="A38" s="3">
        <v>37</v>
      </c>
      <c r="B38" s="4" t="s">
        <v>8</v>
      </c>
      <c r="C38">
        <v>2</v>
      </c>
      <c r="D38" s="4">
        <v>102.5</v>
      </c>
      <c r="E38" t="s">
        <v>16</v>
      </c>
      <c r="F38" t="s">
        <v>14</v>
      </c>
      <c r="G38" t="s">
        <v>17</v>
      </c>
      <c r="H38" s="3">
        <v>42</v>
      </c>
    </row>
    <row r="39" spans="1:8" x14ac:dyDescent="0.3">
      <c r="A39" s="3">
        <v>38</v>
      </c>
      <c r="B39" s="4" t="s">
        <v>12</v>
      </c>
      <c r="C39">
        <v>6</v>
      </c>
      <c r="D39" s="4">
        <v>117.5</v>
      </c>
      <c r="E39" t="s">
        <v>13</v>
      </c>
      <c r="F39" t="s">
        <v>14</v>
      </c>
      <c r="G39" t="s">
        <v>11</v>
      </c>
      <c r="H39" s="3">
        <v>50</v>
      </c>
    </row>
    <row r="40" spans="1:8" x14ac:dyDescent="0.3">
      <c r="A40" s="3">
        <v>39</v>
      </c>
      <c r="B40" s="4" t="s">
        <v>12</v>
      </c>
      <c r="C40">
        <v>5</v>
      </c>
      <c r="D40" s="4">
        <v>13.23</v>
      </c>
      <c r="E40" t="s">
        <v>13</v>
      </c>
      <c r="F40" t="s">
        <v>14</v>
      </c>
      <c r="G40" t="s">
        <v>11</v>
      </c>
      <c r="H40" s="3">
        <v>44</v>
      </c>
    </row>
    <row r="41" spans="1:8" x14ac:dyDescent="0.3">
      <c r="A41" s="3">
        <v>40</v>
      </c>
      <c r="B41" s="4" t="s">
        <v>8</v>
      </c>
      <c r="C41">
        <v>2</v>
      </c>
      <c r="D41" s="4">
        <v>52.5</v>
      </c>
      <c r="E41" t="s">
        <v>13</v>
      </c>
      <c r="F41" t="s">
        <v>14</v>
      </c>
      <c r="G41" t="s">
        <v>11</v>
      </c>
      <c r="H41" s="3">
        <v>58</v>
      </c>
    </row>
    <row r="42" spans="1:8" x14ac:dyDescent="0.3">
      <c r="A42" s="3">
        <v>41</v>
      </c>
      <c r="B42" s="4" t="s">
        <v>12</v>
      </c>
      <c r="C42">
        <v>13</v>
      </c>
      <c r="D42" s="4">
        <v>198.8</v>
      </c>
      <c r="E42" t="s">
        <v>13</v>
      </c>
      <c r="F42" t="s">
        <v>14</v>
      </c>
      <c r="G42" t="s">
        <v>11</v>
      </c>
      <c r="H42" s="3">
        <v>42</v>
      </c>
    </row>
    <row r="43" spans="1:8" x14ac:dyDescent="0.3">
      <c r="A43" s="3">
        <v>42</v>
      </c>
      <c r="B43" s="4" t="s">
        <v>12</v>
      </c>
      <c r="C43">
        <v>4</v>
      </c>
      <c r="D43" s="4">
        <v>19.5</v>
      </c>
      <c r="E43" t="s">
        <v>16</v>
      </c>
      <c r="F43" t="s">
        <v>14</v>
      </c>
      <c r="G43" t="s">
        <v>11</v>
      </c>
      <c r="H43" s="3">
        <v>46</v>
      </c>
    </row>
    <row r="44" spans="1:8" x14ac:dyDescent="0.3">
      <c r="A44" s="3">
        <v>43</v>
      </c>
      <c r="B44" s="4" t="s">
        <v>8</v>
      </c>
      <c r="C44">
        <v>2</v>
      </c>
      <c r="D44" s="4">
        <v>123.5</v>
      </c>
      <c r="E44" t="s">
        <v>13</v>
      </c>
      <c r="F44" t="s">
        <v>14</v>
      </c>
      <c r="G44" t="s">
        <v>11</v>
      </c>
      <c r="H44" s="3">
        <v>48</v>
      </c>
    </row>
    <row r="45" spans="1:8" x14ac:dyDescent="0.3">
      <c r="A45" s="3">
        <v>44</v>
      </c>
      <c r="B45" s="4" t="s">
        <v>12</v>
      </c>
      <c r="C45">
        <v>1</v>
      </c>
      <c r="D45" s="4">
        <v>62.4</v>
      </c>
      <c r="E45" t="s">
        <v>13</v>
      </c>
      <c r="F45" t="s">
        <v>14</v>
      </c>
      <c r="G45" t="s">
        <v>11</v>
      </c>
      <c r="H45" s="3">
        <v>54</v>
      </c>
    </row>
    <row r="46" spans="1:8" x14ac:dyDescent="0.3">
      <c r="A46" s="3">
        <v>45</v>
      </c>
      <c r="B46" s="4" t="s">
        <v>12</v>
      </c>
      <c r="C46">
        <v>2</v>
      </c>
      <c r="D46" s="4">
        <v>23.8</v>
      </c>
      <c r="E46" t="s">
        <v>13</v>
      </c>
      <c r="F46" t="s">
        <v>14</v>
      </c>
      <c r="G46" t="s">
        <v>11</v>
      </c>
      <c r="H46" s="3">
        <v>38</v>
      </c>
    </row>
    <row r="47" spans="1:8" x14ac:dyDescent="0.3">
      <c r="A47" s="3">
        <v>46</v>
      </c>
      <c r="B47" s="4" t="s">
        <v>12</v>
      </c>
      <c r="C47">
        <v>2</v>
      </c>
      <c r="D47" s="4">
        <v>39.6</v>
      </c>
      <c r="E47" t="s">
        <v>13</v>
      </c>
      <c r="F47" t="s">
        <v>14</v>
      </c>
      <c r="G47" t="s">
        <v>11</v>
      </c>
      <c r="H47" s="3">
        <v>60</v>
      </c>
    </row>
    <row r="48" spans="1:8" x14ac:dyDescent="0.3">
      <c r="A48" s="3">
        <v>47</v>
      </c>
      <c r="B48" s="4" t="s">
        <v>8</v>
      </c>
      <c r="C48">
        <v>1</v>
      </c>
      <c r="D48" s="4">
        <v>25</v>
      </c>
      <c r="E48" t="s">
        <v>15</v>
      </c>
      <c r="F48" t="s">
        <v>14</v>
      </c>
      <c r="G48" t="s">
        <v>11</v>
      </c>
      <c r="H48" s="3">
        <v>46</v>
      </c>
    </row>
    <row r="49" spans="1:8" x14ac:dyDescent="0.3">
      <c r="A49" s="3">
        <v>48</v>
      </c>
      <c r="B49" s="4" t="s">
        <v>12</v>
      </c>
      <c r="C49">
        <v>3</v>
      </c>
      <c r="D49" s="4">
        <v>63.64</v>
      </c>
      <c r="E49" t="s">
        <v>13</v>
      </c>
      <c r="F49" t="s">
        <v>14</v>
      </c>
      <c r="G49" t="s">
        <v>11</v>
      </c>
      <c r="H49" s="3">
        <v>30</v>
      </c>
    </row>
    <row r="50" spans="1:8" x14ac:dyDescent="0.3">
      <c r="A50" s="3">
        <v>49</v>
      </c>
      <c r="B50" s="4" t="s">
        <v>12</v>
      </c>
      <c r="C50">
        <v>1</v>
      </c>
      <c r="D50" s="4">
        <v>14.82</v>
      </c>
      <c r="E50" t="s">
        <v>13</v>
      </c>
      <c r="F50" t="s">
        <v>14</v>
      </c>
      <c r="G50" t="s">
        <v>11</v>
      </c>
      <c r="H50" s="3">
        <v>32</v>
      </c>
    </row>
    <row r="51" spans="1:8" x14ac:dyDescent="0.3">
      <c r="A51" s="3">
        <v>50</v>
      </c>
      <c r="B51" s="4" t="s">
        <v>12</v>
      </c>
      <c r="C51">
        <v>9</v>
      </c>
      <c r="D51" s="4">
        <v>145.19999999999999</v>
      </c>
      <c r="E51" t="s">
        <v>15</v>
      </c>
      <c r="F51" t="s">
        <v>14</v>
      </c>
      <c r="G51" t="s">
        <v>11</v>
      </c>
      <c r="H51" s="3">
        <v>46</v>
      </c>
    </row>
    <row r="52" spans="1:8" x14ac:dyDescent="0.3">
      <c r="A52" s="3">
        <v>51</v>
      </c>
      <c r="B52" s="4" t="s">
        <v>12</v>
      </c>
      <c r="C52">
        <v>6</v>
      </c>
      <c r="D52" s="4">
        <v>176.62</v>
      </c>
      <c r="E52" t="s">
        <v>13</v>
      </c>
      <c r="F52" t="s">
        <v>14</v>
      </c>
      <c r="G52" t="s">
        <v>11</v>
      </c>
      <c r="H52" s="3">
        <v>38</v>
      </c>
    </row>
    <row r="53" spans="1:8" x14ac:dyDescent="0.3">
      <c r="A53" s="3">
        <v>52</v>
      </c>
      <c r="B53" s="4" t="s">
        <v>12</v>
      </c>
      <c r="C53">
        <v>5</v>
      </c>
      <c r="D53" s="4">
        <v>118.8</v>
      </c>
      <c r="E53" t="s">
        <v>13</v>
      </c>
      <c r="F53" t="s">
        <v>10</v>
      </c>
      <c r="G53" t="s">
        <v>11</v>
      </c>
      <c r="H53" s="3">
        <v>68</v>
      </c>
    </row>
    <row r="54" spans="1:8" x14ac:dyDescent="0.3">
      <c r="A54" s="3">
        <v>53</v>
      </c>
      <c r="B54" s="4" t="s">
        <v>8</v>
      </c>
      <c r="C54">
        <v>1</v>
      </c>
      <c r="D54" s="4">
        <v>58</v>
      </c>
      <c r="E54" t="s">
        <v>9</v>
      </c>
      <c r="F54" t="s">
        <v>14</v>
      </c>
      <c r="G54" t="s">
        <v>17</v>
      </c>
      <c r="H54" s="3">
        <v>78</v>
      </c>
    </row>
    <row r="55" spans="1:8" x14ac:dyDescent="0.3">
      <c r="A55" s="3">
        <v>54</v>
      </c>
      <c r="B55" s="4" t="s">
        <v>8</v>
      </c>
      <c r="C55">
        <v>2</v>
      </c>
      <c r="D55" s="4">
        <v>74</v>
      </c>
      <c r="E55" t="s">
        <v>16</v>
      </c>
      <c r="F55" t="s">
        <v>14</v>
      </c>
      <c r="G55" t="s">
        <v>17</v>
      </c>
      <c r="H55" s="3">
        <v>20</v>
      </c>
    </row>
    <row r="56" spans="1:8" x14ac:dyDescent="0.3">
      <c r="A56" s="3">
        <v>55</v>
      </c>
      <c r="B56" s="4" t="s">
        <v>8</v>
      </c>
      <c r="C56">
        <v>2</v>
      </c>
      <c r="D56" s="4">
        <v>49.5</v>
      </c>
      <c r="E56" t="s">
        <v>15</v>
      </c>
      <c r="F56" t="s">
        <v>14</v>
      </c>
      <c r="G56" t="s">
        <v>11</v>
      </c>
      <c r="H56" s="3">
        <v>32</v>
      </c>
    </row>
    <row r="57" spans="1:8" x14ac:dyDescent="0.3">
      <c r="A57" s="3">
        <v>56</v>
      </c>
      <c r="B57" s="4" t="s">
        <v>12</v>
      </c>
      <c r="C57">
        <v>3</v>
      </c>
      <c r="D57" s="4">
        <v>141.6</v>
      </c>
      <c r="E57" t="s">
        <v>13</v>
      </c>
      <c r="F57" t="s">
        <v>14</v>
      </c>
      <c r="G57" t="s">
        <v>11</v>
      </c>
      <c r="H57" s="3">
        <v>38</v>
      </c>
    </row>
    <row r="58" spans="1:8" x14ac:dyDescent="0.3">
      <c r="A58" s="3">
        <v>57</v>
      </c>
      <c r="B58" s="4" t="s">
        <v>12</v>
      </c>
      <c r="C58">
        <v>6</v>
      </c>
      <c r="D58" s="4">
        <v>123.1</v>
      </c>
      <c r="E58" t="s">
        <v>13</v>
      </c>
      <c r="F58" t="s">
        <v>14</v>
      </c>
      <c r="G58" t="s">
        <v>11</v>
      </c>
      <c r="H58" s="3">
        <v>54</v>
      </c>
    </row>
    <row r="59" spans="1:8" x14ac:dyDescent="0.3">
      <c r="A59" s="3">
        <v>58</v>
      </c>
      <c r="B59" s="4" t="s">
        <v>12</v>
      </c>
      <c r="C59">
        <v>2</v>
      </c>
      <c r="D59" s="4">
        <v>80.400000000000006</v>
      </c>
      <c r="E59" t="s">
        <v>13</v>
      </c>
      <c r="F59" t="s">
        <v>14</v>
      </c>
      <c r="G59" t="s">
        <v>11</v>
      </c>
      <c r="H59" s="3">
        <v>48</v>
      </c>
    </row>
    <row r="60" spans="1:8" x14ac:dyDescent="0.3">
      <c r="A60" s="3">
        <v>59</v>
      </c>
      <c r="B60" s="4" t="s">
        <v>12</v>
      </c>
      <c r="C60">
        <v>4</v>
      </c>
      <c r="D60" s="4">
        <v>65.2</v>
      </c>
      <c r="E60" t="s">
        <v>15</v>
      </c>
      <c r="F60" t="s">
        <v>14</v>
      </c>
      <c r="G60" t="s">
        <v>11</v>
      </c>
      <c r="H60" s="3">
        <v>46</v>
      </c>
    </row>
    <row r="61" spans="1:8" x14ac:dyDescent="0.3">
      <c r="A61" s="3">
        <v>60</v>
      </c>
      <c r="B61" s="4" t="s">
        <v>12</v>
      </c>
      <c r="C61">
        <v>4</v>
      </c>
      <c r="D61" s="4">
        <v>113</v>
      </c>
      <c r="E61" t="s">
        <v>13</v>
      </c>
      <c r="F61" t="s">
        <v>14</v>
      </c>
      <c r="G61" t="s">
        <v>17</v>
      </c>
      <c r="H61" s="3">
        <v>50</v>
      </c>
    </row>
    <row r="62" spans="1:8" x14ac:dyDescent="0.3">
      <c r="A62" s="3">
        <v>61</v>
      </c>
      <c r="B62" s="4" t="s">
        <v>12</v>
      </c>
      <c r="C62">
        <v>1</v>
      </c>
      <c r="D62" s="4">
        <v>108.8</v>
      </c>
      <c r="E62" t="s">
        <v>13</v>
      </c>
      <c r="F62" t="s">
        <v>14</v>
      </c>
      <c r="G62" t="s">
        <v>11</v>
      </c>
      <c r="H62" s="3">
        <v>46</v>
      </c>
    </row>
    <row r="63" spans="1:8" x14ac:dyDescent="0.3">
      <c r="A63" s="3">
        <v>62</v>
      </c>
      <c r="B63" s="4" t="s">
        <v>12</v>
      </c>
      <c r="C63">
        <v>3</v>
      </c>
      <c r="D63" s="4">
        <v>59.91</v>
      </c>
      <c r="E63" t="s">
        <v>13</v>
      </c>
      <c r="F63" t="s">
        <v>14</v>
      </c>
      <c r="G63" t="s">
        <v>17</v>
      </c>
      <c r="H63" s="3">
        <v>30</v>
      </c>
    </row>
    <row r="64" spans="1:8" x14ac:dyDescent="0.3">
      <c r="A64" s="3">
        <v>63</v>
      </c>
      <c r="B64" s="4" t="s">
        <v>12</v>
      </c>
      <c r="C64">
        <v>5</v>
      </c>
      <c r="D64" s="4">
        <v>53.6</v>
      </c>
      <c r="E64" t="s">
        <v>13</v>
      </c>
      <c r="F64" t="s">
        <v>14</v>
      </c>
      <c r="G64" t="s">
        <v>11</v>
      </c>
      <c r="H64" s="3">
        <v>54</v>
      </c>
    </row>
    <row r="65" spans="1:8" x14ac:dyDescent="0.3">
      <c r="A65" s="3">
        <v>64</v>
      </c>
      <c r="B65" s="4" t="s">
        <v>12</v>
      </c>
      <c r="C65">
        <v>1</v>
      </c>
      <c r="D65" s="4">
        <v>31.6</v>
      </c>
      <c r="E65" t="s">
        <v>13</v>
      </c>
      <c r="F65" t="s">
        <v>14</v>
      </c>
      <c r="G65" t="s">
        <v>17</v>
      </c>
      <c r="H65" s="3">
        <v>42</v>
      </c>
    </row>
    <row r="66" spans="1:8" x14ac:dyDescent="0.3">
      <c r="A66" s="3">
        <v>65</v>
      </c>
      <c r="B66" s="4" t="s">
        <v>12</v>
      </c>
      <c r="C66">
        <v>2</v>
      </c>
      <c r="D66" s="4">
        <v>49.5</v>
      </c>
      <c r="E66" t="s">
        <v>13</v>
      </c>
      <c r="F66" t="s">
        <v>14</v>
      </c>
      <c r="G66" t="s">
        <v>11</v>
      </c>
      <c r="H66" s="3">
        <v>48</v>
      </c>
    </row>
    <row r="67" spans="1:8" x14ac:dyDescent="0.3">
      <c r="A67" s="3">
        <v>66</v>
      </c>
      <c r="B67" s="4" t="s">
        <v>12</v>
      </c>
      <c r="C67">
        <v>1</v>
      </c>
      <c r="D67" s="4">
        <v>39.6</v>
      </c>
      <c r="E67" t="s">
        <v>13</v>
      </c>
      <c r="F67" t="s">
        <v>14</v>
      </c>
      <c r="G67" t="s">
        <v>11</v>
      </c>
      <c r="H67" s="3">
        <v>62</v>
      </c>
    </row>
    <row r="68" spans="1:8" x14ac:dyDescent="0.3">
      <c r="A68" s="3">
        <v>67</v>
      </c>
      <c r="B68" s="4" t="s">
        <v>12</v>
      </c>
      <c r="C68">
        <v>2</v>
      </c>
      <c r="D68" s="4">
        <v>59.5</v>
      </c>
      <c r="E68" t="s">
        <v>13</v>
      </c>
      <c r="F68" t="s">
        <v>14</v>
      </c>
      <c r="G68" t="s">
        <v>11</v>
      </c>
      <c r="H68" s="3">
        <v>34</v>
      </c>
    </row>
    <row r="69" spans="1:8" x14ac:dyDescent="0.3">
      <c r="A69" s="3">
        <v>68</v>
      </c>
      <c r="B69" s="4" t="s">
        <v>12</v>
      </c>
      <c r="C69">
        <v>5</v>
      </c>
      <c r="D69" s="4">
        <v>146.80000000000001</v>
      </c>
      <c r="E69" t="s">
        <v>13</v>
      </c>
      <c r="F69" t="s">
        <v>14</v>
      </c>
      <c r="G69" t="s">
        <v>11</v>
      </c>
      <c r="H69" s="3">
        <v>28</v>
      </c>
    </row>
    <row r="70" spans="1:8" x14ac:dyDescent="0.3">
      <c r="A70" s="3">
        <v>69</v>
      </c>
      <c r="B70" s="4" t="s">
        <v>12</v>
      </c>
      <c r="C70">
        <v>2</v>
      </c>
      <c r="D70" s="4">
        <v>47.2</v>
      </c>
      <c r="E70" t="s">
        <v>13</v>
      </c>
      <c r="F70" t="s">
        <v>10</v>
      </c>
      <c r="G70" t="s">
        <v>11</v>
      </c>
      <c r="H70" s="3">
        <v>46</v>
      </c>
    </row>
    <row r="71" spans="1:8" x14ac:dyDescent="0.3">
      <c r="A71" s="3">
        <v>70</v>
      </c>
      <c r="B71" s="4" t="s">
        <v>12</v>
      </c>
      <c r="C71">
        <v>8</v>
      </c>
      <c r="D71" s="4">
        <v>95.05</v>
      </c>
      <c r="E71" t="s">
        <v>13</v>
      </c>
      <c r="F71" t="s">
        <v>14</v>
      </c>
      <c r="G71" t="s">
        <v>11</v>
      </c>
      <c r="H71" s="3">
        <v>54</v>
      </c>
    </row>
    <row r="72" spans="1:8" x14ac:dyDescent="0.3">
      <c r="A72" s="3">
        <v>71</v>
      </c>
      <c r="B72" s="4" t="s">
        <v>12</v>
      </c>
      <c r="C72">
        <v>5</v>
      </c>
      <c r="D72" s="4">
        <v>155.32</v>
      </c>
      <c r="E72" t="s">
        <v>13</v>
      </c>
      <c r="F72" t="s">
        <v>14</v>
      </c>
      <c r="G72" t="s">
        <v>11</v>
      </c>
      <c r="H72" s="3">
        <v>30</v>
      </c>
    </row>
    <row r="73" spans="1:8" x14ac:dyDescent="0.3">
      <c r="A73" s="3">
        <v>72</v>
      </c>
      <c r="B73" s="4" t="s">
        <v>12</v>
      </c>
      <c r="C73">
        <v>4</v>
      </c>
      <c r="D73" s="4">
        <v>58</v>
      </c>
      <c r="E73" t="s">
        <v>15</v>
      </c>
      <c r="F73" t="s">
        <v>14</v>
      </c>
      <c r="G73" t="s">
        <v>11</v>
      </c>
      <c r="H73" s="3">
        <v>32</v>
      </c>
    </row>
    <row r="74" spans="1:8" x14ac:dyDescent="0.3">
      <c r="A74" s="3">
        <v>73</v>
      </c>
      <c r="B74" s="4" t="s">
        <v>8</v>
      </c>
      <c r="C74">
        <v>1</v>
      </c>
      <c r="D74" s="4">
        <v>69</v>
      </c>
      <c r="E74" t="s">
        <v>13</v>
      </c>
      <c r="F74" t="s">
        <v>14</v>
      </c>
      <c r="G74" t="s">
        <v>17</v>
      </c>
      <c r="H74" s="3">
        <v>22</v>
      </c>
    </row>
    <row r="75" spans="1:8" x14ac:dyDescent="0.3">
      <c r="A75" s="3">
        <v>74</v>
      </c>
      <c r="B75" s="4" t="s">
        <v>12</v>
      </c>
      <c r="C75">
        <v>2</v>
      </c>
      <c r="D75" s="4">
        <v>46.5</v>
      </c>
      <c r="E75" t="s">
        <v>13</v>
      </c>
      <c r="F75" t="s">
        <v>14</v>
      </c>
      <c r="G75" t="s">
        <v>11</v>
      </c>
      <c r="H75" s="3">
        <v>32</v>
      </c>
    </row>
    <row r="76" spans="1:8" x14ac:dyDescent="0.3">
      <c r="A76" s="3">
        <v>75</v>
      </c>
      <c r="B76" s="4" t="s">
        <v>12</v>
      </c>
      <c r="C76">
        <v>2</v>
      </c>
      <c r="D76" s="4">
        <v>45.22</v>
      </c>
      <c r="E76" t="s">
        <v>13</v>
      </c>
      <c r="F76" t="s">
        <v>14</v>
      </c>
      <c r="G76" t="s">
        <v>11</v>
      </c>
      <c r="H76" s="3">
        <v>74</v>
      </c>
    </row>
    <row r="77" spans="1:8" x14ac:dyDescent="0.3">
      <c r="A77" s="3">
        <v>76</v>
      </c>
      <c r="B77" s="4" t="s">
        <v>12</v>
      </c>
      <c r="C77">
        <v>4</v>
      </c>
      <c r="D77" s="4">
        <v>84.74</v>
      </c>
      <c r="E77" t="s">
        <v>13</v>
      </c>
      <c r="F77" t="s">
        <v>14</v>
      </c>
      <c r="G77" t="s">
        <v>11</v>
      </c>
      <c r="H77" s="3">
        <v>62</v>
      </c>
    </row>
    <row r="78" spans="1:8" x14ac:dyDescent="0.3">
      <c r="A78" s="3">
        <v>77</v>
      </c>
      <c r="B78" s="4" t="s">
        <v>8</v>
      </c>
      <c r="C78">
        <v>2</v>
      </c>
      <c r="D78" s="4">
        <v>39</v>
      </c>
      <c r="E78" t="s">
        <v>13</v>
      </c>
      <c r="F78" t="s">
        <v>14</v>
      </c>
      <c r="G78" t="s">
        <v>11</v>
      </c>
      <c r="H78" s="3">
        <v>42</v>
      </c>
    </row>
    <row r="79" spans="1:8" x14ac:dyDescent="0.3">
      <c r="A79" s="3">
        <v>78</v>
      </c>
      <c r="B79" s="4" t="s">
        <v>12</v>
      </c>
      <c r="C79">
        <v>4</v>
      </c>
      <c r="D79" s="4">
        <v>111.14</v>
      </c>
      <c r="E79" t="s">
        <v>13</v>
      </c>
      <c r="F79" t="s">
        <v>14</v>
      </c>
      <c r="G79" t="s">
        <v>11</v>
      </c>
      <c r="H79" s="3">
        <v>28</v>
      </c>
    </row>
    <row r="80" spans="1:8" x14ac:dyDescent="0.3">
      <c r="A80" s="3">
        <v>79</v>
      </c>
      <c r="B80" s="4" t="s">
        <v>12</v>
      </c>
      <c r="C80">
        <v>3</v>
      </c>
      <c r="D80" s="4">
        <v>86.8</v>
      </c>
      <c r="E80" t="s">
        <v>13</v>
      </c>
      <c r="F80" t="s">
        <v>14</v>
      </c>
      <c r="G80" t="s">
        <v>11</v>
      </c>
      <c r="H80" s="3">
        <v>38</v>
      </c>
    </row>
    <row r="81" spans="1:8" x14ac:dyDescent="0.3">
      <c r="A81" s="3">
        <v>80</v>
      </c>
      <c r="B81" s="4" t="s">
        <v>8</v>
      </c>
      <c r="C81">
        <v>2</v>
      </c>
      <c r="D81" s="4">
        <v>89</v>
      </c>
      <c r="E81" t="s">
        <v>9</v>
      </c>
      <c r="F81" t="s">
        <v>14</v>
      </c>
      <c r="G81" t="s">
        <v>11</v>
      </c>
      <c r="H81" s="3">
        <v>54</v>
      </c>
    </row>
    <row r="82" spans="1:8" x14ac:dyDescent="0.3">
      <c r="A82" s="3">
        <v>81</v>
      </c>
      <c r="B82" s="4" t="s">
        <v>12</v>
      </c>
      <c r="C82">
        <v>2</v>
      </c>
      <c r="D82" s="4">
        <v>78</v>
      </c>
      <c r="E82" t="s">
        <v>15</v>
      </c>
      <c r="F82" t="s">
        <v>14</v>
      </c>
      <c r="G82" t="s">
        <v>11</v>
      </c>
      <c r="H82" s="3">
        <v>68</v>
      </c>
    </row>
    <row r="83" spans="1:8" x14ac:dyDescent="0.3">
      <c r="A83" s="3">
        <v>82</v>
      </c>
      <c r="B83" s="4" t="s">
        <v>12</v>
      </c>
      <c r="C83">
        <v>6</v>
      </c>
      <c r="D83" s="4">
        <v>53.2</v>
      </c>
      <c r="E83" t="s">
        <v>13</v>
      </c>
      <c r="F83" t="s">
        <v>14</v>
      </c>
      <c r="G83" t="s">
        <v>17</v>
      </c>
      <c r="H83" s="3">
        <v>30</v>
      </c>
    </row>
    <row r="84" spans="1:8" x14ac:dyDescent="0.3">
      <c r="A84" s="3">
        <v>83</v>
      </c>
      <c r="B84" s="4" t="s">
        <v>12</v>
      </c>
      <c r="C84">
        <v>4</v>
      </c>
      <c r="D84" s="4">
        <v>58.5</v>
      </c>
      <c r="E84" t="s">
        <v>16</v>
      </c>
      <c r="F84" t="s">
        <v>14</v>
      </c>
      <c r="G84" t="s">
        <v>11</v>
      </c>
      <c r="H84" s="3">
        <v>36</v>
      </c>
    </row>
    <row r="85" spans="1:8" x14ac:dyDescent="0.3">
      <c r="A85" s="3">
        <v>84</v>
      </c>
      <c r="B85" s="4" t="s">
        <v>12</v>
      </c>
      <c r="C85">
        <v>3</v>
      </c>
      <c r="D85" s="4">
        <v>46</v>
      </c>
      <c r="E85" t="s">
        <v>13</v>
      </c>
      <c r="F85" t="s">
        <v>14</v>
      </c>
      <c r="G85" t="s">
        <v>11</v>
      </c>
      <c r="H85" s="3">
        <v>44</v>
      </c>
    </row>
    <row r="86" spans="1:8" x14ac:dyDescent="0.3">
      <c r="A86" s="3">
        <v>85</v>
      </c>
      <c r="B86" s="4" t="s">
        <v>8</v>
      </c>
      <c r="C86">
        <v>2</v>
      </c>
      <c r="D86" s="4">
        <v>37.5</v>
      </c>
      <c r="E86" t="s">
        <v>16</v>
      </c>
      <c r="F86" t="s">
        <v>14</v>
      </c>
      <c r="G86" t="s">
        <v>11</v>
      </c>
      <c r="H86" s="3">
        <v>44</v>
      </c>
    </row>
    <row r="87" spans="1:8" x14ac:dyDescent="0.3">
      <c r="A87" s="3">
        <v>86</v>
      </c>
      <c r="B87" s="4" t="s">
        <v>12</v>
      </c>
      <c r="C87">
        <v>1</v>
      </c>
      <c r="D87" s="4">
        <v>20.8</v>
      </c>
      <c r="E87" t="s">
        <v>13</v>
      </c>
      <c r="F87" t="s">
        <v>14</v>
      </c>
      <c r="G87" t="s">
        <v>11</v>
      </c>
      <c r="H87" s="3">
        <v>62</v>
      </c>
    </row>
    <row r="88" spans="1:8" x14ac:dyDescent="0.3">
      <c r="A88" s="3">
        <v>87</v>
      </c>
      <c r="B88" s="4" t="s">
        <v>8</v>
      </c>
      <c r="C88">
        <v>6</v>
      </c>
      <c r="D88" s="4">
        <v>144</v>
      </c>
      <c r="E88" t="s">
        <v>15</v>
      </c>
      <c r="F88" t="s">
        <v>14</v>
      </c>
      <c r="G88" t="s">
        <v>17</v>
      </c>
      <c r="H88" s="3">
        <v>48</v>
      </c>
    </row>
    <row r="89" spans="1:8" x14ac:dyDescent="0.3">
      <c r="A89" s="3">
        <v>88</v>
      </c>
      <c r="B89" s="4" t="s">
        <v>8</v>
      </c>
      <c r="C89">
        <v>4</v>
      </c>
      <c r="D89" s="4">
        <v>107</v>
      </c>
      <c r="E89" t="s">
        <v>13</v>
      </c>
      <c r="F89" t="s">
        <v>14</v>
      </c>
      <c r="G89" t="s">
        <v>11</v>
      </c>
      <c r="H89" s="3">
        <v>36</v>
      </c>
    </row>
    <row r="90" spans="1:8" x14ac:dyDescent="0.3">
      <c r="A90" s="3">
        <v>89</v>
      </c>
      <c r="B90" s="4" t="s">
        <v>12</v>
      </c>
      <c r="C90">
        <v>1</v>
      </c>
      <c r="D90" s="4">
        <v>31.6</v>
      </c>
      <c r="E90" t="s">
        <v>13</v>
      </c>
      <c r="F90" t="s">
        <v>14</v>
      </c>
      <c r="G90" t="s">
        <v>17</v>
      </c>
      <c r="H90" s="3">
        <v>20</v>
      </c>
    </row>
    <row r="91" spans="1:8" x14ac:dyDescent="0.3">
      <c r="A91" s="3">
        <v>90</v>
      </c>
      <c r="B91" s="4" t="s">
        <v>12</v>
      </c>
      <c r="C91">
        <v>6</v>
      </c>
      <c r="D91" s="4">
        <v>57.6</v>
      </c>
      <c r="E91" t="s">
        <v>13</v>
      </c>
      <c r="F91" t="s">
        <v>14</v>
      </c>
      <c r="G91" t="s">
        <v>11</v>
      </c>
      <c r="H91" s="3">
        <v>42</v>
      </c>
    </row>
    <row r="92" spans="1:8" x14ac:dyDescent="0.3">
      <c r="A92" s="3">
        <v>91</v>
      </c>
      <c r="B92" s="4" t="s">
        <v>12</v>
      </c>
      <c r="C92">
        <v>4</v>
      </c>
      <c r="D92" s="4">
        <v>95.2</v>
      </c>
      <c r="E92" t="s">
        <v>13</v>
      </c>
      <c r="F92" t="s">
        <v>14</v>
      </c>
      <c r="G92" t="s">
        <v>11</v>
      </c>
      <c r="H92" s="3">
        <v>54</v>
      </c>
    </row>
    <row r="93" spans="1:8" x14ac:dyDescent="0.3">
      <c r="A93" s="3">
        <v>92</v>
      </c>
      <c r="B93" s="4" t="s">
        <v>12</v>
      </c>
      <c r="C93">
        <v>1</v>
      </c>
      <c r="D93" s="4">
        <v>22.42</v>
      </c>
      <c r="E93" t="s">
        <v>13</v>
      </c>
      <c r="F93" t="s">
        <v>14</v>
      </c>
      <c r="G93" t="s">
        <v>11</v>
      </c>
      <c r="H93" s="3">
        <v>54</v>
      </c>
    </row>
    <row r="94" spans="1:8" x14ac:dyDescent="0.3">
      <c r="A94" s="3">
        <v>93</v>
      </c>
      <c r="B94" s="4" t="s">
        <v>8</v>
      </c>
      <c r="C94">
        <v>5</v>
      </c>
      <c r="D94" s="4">
        <v>159.75</v>
      </c>
      <c r="E94" t="s">
        <v>13</v>
      </c>
      <c r="F94" t="s">
        <v>14</v>
      </c>
      <c r="G94" t="s">
        <v>11</v>
      </c>
      <c r="H94" s="3">
        <v>72</v>
      </c>
    </row>
    <row r="95" spans="1:8" x14ac:dyDescent="0.3">
      <c r="A95" s="3">
        <v>94</v>
      </c>
      <c r="B95" s="4" t="s">
        <v>12</v>
      </c>
      <c r="C95">
        <v>17</v>
      </c>
      <c r="D95" s="4">
        <v>229.5</v>
      </c>
      <c r="E95" t="s">
        <v>13</v>
      </c>
      <c r="F95" t="s">
        <v>14</v>
      </c>
      <c r="G95" t="s">
        <v>11</v>
      </c>
      <c r="H95" s="3">
        <v>30</v>
      </c>
    </row>
    <row r="96" spans="1:8" x14ac:dyDescent="0.3">
      <c r="A96" s="3">
        <v>95</v>
      </c>
      <c r="B96" s="4" t="s">
        <v>8</v>
      </c>
      <c r="C96">
        <v>3</v>
      </c>
      <c r="D96" s="4">
        <v>66</v>
      </c>
      <c r="E96" t="s">
        <v>18</v>
      </c>
      <c r="F96" t="s">
        <v>14</v>
      </c>
      <c r="G96" t="s">
        <v>11</v>
      </c>
      <c r="H96" s="3">
        <v>46</v>
      </c>
    </row>
    <row r="97" spans="1:8" x14ac:dyDescent="0.3">
      <c r="A97" s="3">
        <v>96</v>
      </c>
      <c r="B97" s="4" t="s">
        <v>8</v>
      </c>
      <c r="C97">
        <v>1</v>
      </c>
      <c r="D97" s="4">
        <v>39.5</v>
      </c>
      <c r="E97" t="s">
        <v>15</v>
      </c>
      <c r="F97" t="s">
        <v>14</v>
      </c>
      <c r="G97" t="s">
        <v>11</v>
      </c>
      <c r="H97" s="3">
        <v>44</v>
      </c>
    </row>
    <row r="98" spans="1:8" x14ac:dyDescent="0.3">
      <c r="A98" s="3">
        <v>97</v>
      </c>
      <c r="B98" s="4" t="s">
        <v>12</v>
      </c>
      <c r="C98">
        <v>9</v>
      </c>
      <c r="D98" s="4">
        <v>253</v>
      </c>
      <c r="E98" t="s">
        <v>13</v>
      </c>
      <c r="F98" t="s">
        <v>14</v>
      </c>
      <c r="G98" t="s">
        <v>11</v>
      </c>
      <c r="H98" s="3">
        <v>30</v>
      </c>
    </row>
    <row r="99" spans="1:8" x14ac:dyDescent="0.3">
      <c r="A99" s="3">
        <v>98</v>
      </c>
      <c r="B99" s="4" t="s">
        <v>12</v>
      </c>
      <c r="C99">
        <v>10</v>
      </c>
      <c r="D99" s="4">
        <v>287.58999999999997</v>
      </c>
      <c r="E99" t="s">
        <v>13</v>
      </c>
      <c r="F99" t="s">
        <v>14</v>
      </c>
      <c r="G99" t="s">
        <v>11</v>
      </c>
      <c r="H99" s="3">
        <v>52</v>
      </c>
    </row>
    <row r="100" spans="1:8" x14ac:dyDescent="0.3">
      <c r="A100" s="3">
        <v>99</v>
      </c>
      <c r="B100" s="4" t="s">
        <v>12</v>
      </c>
      <c r="C100">
        <v>2</v>
      </c>
      <c r="D100" s="4">
        <v>47.6</v>
      </c>
      <c r="E100" t="s">
        <v>13</v>
      </c>
      <c r="F100" t="s">
        <v>14</v>
      </c>
      <c r="G100" t="s">
        <v>11</v>
      </c>
      <c r="H100" s="3">
        <v>30</v>
      </c>
    </row>
    <row r="101" spans="1:8" x14ac:dyDescent="0.3">
      <c r="A101" s="3">
        <v>100</v>
      </c>
      <c r="B101" s="4" t="s">
        <v>12</v>
      </c>
      <c r="C101">
        <v>1</v>
      </c>
      <c r="D101" s="4">
        <v>28.44</v>
      </c>
      <c r="E101" t="s">
        <v>13</v>
      </c>
      <c r="F101" t="s">
        <v>14</v>
      </c>
      <c r="G101" t="s">
        <v>11</v>
      </c>
      <c r="H101" s="3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9E89"/>
    <pageSetUpPr fitToPage="1"/>
  </sheetPr>
  <dimension ref="A1:H22"/>
  <sheetViews>
    <sheetView showGridLines="0" tabSelected="1" workbookViewId="0">
      <pane ySplit="3" topLeftCell="A12" activePane="bottomLeft" state="frozen"/>
      <selection pane="bottomLeft" sqref="A1:H1"/>
    </sheetView>
  </sheetViews>
  <sheetFormatPr defaultRowHeight="15.6" x14ac:dyDescent="0.3"/>
  <cols>
    <col min="1" max="1" width="26" customWidth="1"/>
    <col min="2" max="3" width="23" customWidth="1"/>
    <col min="4" max="4" width="18" customWidth="1"/>
    <col min="5" max="8" width="3" customWidth="1"/>
  </cols>
  <sheetData>
    <row r="1" spans="1:8" ht="30" customHeight="1" x14ac:dyDescent="0.3">
      <c r="A1" s="24" t="s">
        <v>19</v>
      </c>
      <c r="B1" s="25"/>
      <c r="C1" s="25"/>
      <c r="D1" s="25"/>
      <c r="E1" s="25"/>
      <c r="F1" s="25"/>
      <c r="G1" s="25"/>
      <c r="H1" s="25"/>
    </row>
    <row r="3" spans="1:8" x14ac:dyDescent="0.3">
      <c r="A3" s="6" t="s">
        <v>20</v>
      </c>
      <c r="B3" s="6" t="s">
        <v>21</v>
      </c>
    </row>
    <row r="4" spans="1:8" x14ac:dyDescent="0.3">
      <c r="A4" s="7" t="s">
        <v>22</v>
      </c>
      <c r="B4" s="8">
        <f>AVERAGE(Data!$D$2:$D$101)</f>
        <v>77.600500000000025</v>
      </c>
    </row>
    <row r="5" spans="1:8" x14ac:dyDescent="0.3">
      <c r="A5" s="9" t="s">
        <v>23</v>
      </c>
      <c r="B5" s="10">
        <f>MEDIAN(Data!$D$2:$D$101)</f>
        <v>59.704999999999998</v>
      </c>
    </row>
    <row r="6" spans="1:8" x14ac:dyDescent="0.3">
      <c r="A6" s="7" t="s">
        <v>24</v>
      </c>
      <c r="B6" s="8">
        <f>_xlfn.MODE.SNGL(Data!$D$2:$D$101)</f>
        <v>31.6</v>
      </c>
    </row>
    <row r="7" spans="1:8" x14ac:dyDescent="0.3">
      <c r="A7" s="9" t="s">
        <v>25</v>
      </c>
      <c r="B7" s="10">
        <f>_xlfn.PERCENTILE.EXC(Data!$D$2:$D$101,0.25)</f>
        <v>39.6</v>
      </c>
    </row>
    <row r="8" spans="1:8" x14ac:dyDescent="0.3">
      <c r="A8" s="7" t="s">
        <v>26</v>
      </c>
      <c r="B8" s="8">
        <f>_xlfn.PERCENTILE.EXC(Data!$D$2:$D$101,0.75)</f>
        <v>101.9</v>
      </c>
    </row>
    <row r="9" spans="1:8" x14ac:dyDescent="0.3">
      <c r="A9" s="9" t="s">
        <v>27</v>
      </c>
      <c r="B9" s="10">
        <f>_xlfn.PERCENTILE.EXC(Data!$D$2:$D$101,0.9)</f>
        <v>154.46800000000005</v>
      </c>
    </row>
    <row r="12" spans="1:8" ht="22.05" customHeight="1" x14ac:dyDescent="0.3"/>
    <row r="17" spans="1:8" ht="22.05" customHeight="1" x14ac:dyDescent="0.3">
      <c r="A17" s="26" t="s">
        <v>28</v>
      </c>
      <c r="B17" s="25"/>
      <c r="C17" s="25"/>
      <c r="D17" s="25"/>
      <c r="E17" s="25"/>
      <c r="F17" s="25"/>
      <c r="G17" s="25"/>
      <c r="H17" s="25"/>
    </row>
    <row r="18" spans="1:8" ht="22.95" customHeight="1" x14ac:dyDescent="0.3">
      <c r="A18" s="23" t="s">
        <v>29</v>
      </c>
      <c r="B18" s="21"/>
      <c r="C18" s="21"/>
      <c r="D18" s="21"/>
      <c r="E18" s="21"/>
      <c r="F18" s="21"/>
      <c r="G18" s="21"/>
      <c r="H18" s="22"/>
    </row>
    <row r="19" spans="1:8" ht="31.05" customHeight="1" x14ac:dyDescent="0.3">
      <c r="A19" s="20" t="s">
        <v>30</v>
      </c>
      <c r="B19" s="21"/>
      <c r="C19" s="21"/>
      <c r="D19" s="21"/>
      <c r="E19" s="21"/>
      <c r="F19" s="21"/>
      <c r="G19" s="21"/>
      <c r="H19" s="22"/>
    </row>
    <row r="20" spans="1:8" ht="31.05" customHeight="1" x14ac:dyDescent="0.3">
      <c r="A20" s="23" t="s">
        <v>31</v>
      </c>
      <c r="B20" s="21"/>
      <c r="C20" s="21"/>
      <c r="D20" s="21"/>
      <c r="E20" s="21"/>
      <c r="F20" s="21"/>
      <c r="G20" s="21"/>
      <c r="H20" s="22"/>
    </row>
    <row r="21" spans="1:8" ht="31.05" customHeight="1" x14ac:dyDescent="0.3">
      <c r="A21" s="20" t="s">
        <v>32</v>
      </c>
      <c r="B21" s="21"/>
      <c r="C21" s="21"/>
      <c r="D21" s="21"/>
      <c r="E21" s="21"/>
      <c r="F21" s="21"/>
      <c r="G21" s="21"/>
      <c r="H21" s="22"/>
    </row>
    <row r="22" spans="1:8" ht="36" customHeight="1" x14ac:dyDescent="0.3">
      <c r="A22" s="27" t="s">
        <v>33</v>
      </c>
      <c r="B22" s="21"/>
      <c r="C22" s="21"/>
      <c r="D22" s="21"/>
      <c r="E22" s="21"/>
      <c r="F22" s="21"/>
      <c r="G22" s="21"/>
      <c r="H22" s="22"/>
    </row>
  </sheetData>
  <mergeCells count="7">
    <mergeCell ref="A1:H1"/>
    <mergeCell ref="A22:H22"/>
    <mergeCell ref="A17:H17"/>
    <mergeCell ref="A18:H18"/>
    <mergeCell ref="A21:H21"/>
    <mergeCell ref="A20:H20"/>
    <mergeCell ref="A19:H19"/>
  </mergeCells>
  <pageMargins left="0.75" right="0.75" top="1" bottom="1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9E89"/>
  </sheetPr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defaultRowHeight="15.6" x14ac:dyDescent="0.3"/>
  <cols>
    <col min="1" max="1" width="20" customWidth="1"/>
    <col min="2" max="4" width="13" customWidth="1"/>
    <col min="5" max="5" width="18" customWidth="1"/>
    <col min="6" max="6" width="23" customWidth="1"/>
    <col min="7" max="7" width="25" customWidth="1"/>
    <col min="8" max="8" width="13" customWidth="1"/>
  </cols>
  <sheetData>
    <row r="1" spans="1:8" ht="30" customHeight="1" x14ac:dyDescent="0.3">
      <c r="A1" s="24" t="s">
        <v>34</v>
      </c>
      <c r="B1" s="25"/>
      <c r="C1" s="25"/>
      <c r="D1" s="25"/>
      <c r="E1" s="25"/>
      <c r="F1" s="25"/>
      <c r="G1" s="25"/>
      <c r="H1" s="25"/>
    </row>
    <row r="3" spans="1:8" x14ac:dyDescent="0.3">
      <c r="A3" s="6" t="s">
        <v>35</v>
      </c>
      <c r="B3" s="6" t="s">
        <v>22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x14ac:dyDescent="0.3">
      <c r="A4" s="7" t="s">
        <v>21</v>
      </c>
      <c r="B4" s="11">
        <f>AVERAGE(Data!$D$2:$D$101)</f>
        <v>77.600500000000025</v>
      </c>
      <c r="C4" s="11">
        <f>MAX(Data!$D$2:$D$101)-MIN(Data!$D$2:$D$101)</f>
        <v>274.35999999999996</v>
      </c>
      <c r="D4" s="11">
        <f>_xlfn.PERCENTILE.EXC(Data!$D$2:$D$101,0.75)-_xlfn.PERCENTILE.EXC(Data!$D$2:$D$101,0.25)</f>
        <v>62.300000000000004</v>
      </c>
      <c r="E4" s="11">
        <f>_xlfn.VAR.S(Data!$D$2:$D$101)</f>
        <v>3098.585370454542</v>
      </c>
      <c r="F4" s="11">
        <f>_xlfn.STDEV.S(Data!$D$2:$D$101)</f>
        <v>55.664938430348975</v>
      </c>
      <c r="G4" s="11">
        <f>_xlfn.STDEV.P(Data!$D$2:$D$101)</f>
        <v>55.385914425510727</v>
      </c>
      <c r="H4" s="11">
        <f>F4/B4*100</f>
        <v>71.732705885076726</v>
      </c>
    </row>
    <row r="5" spans="1:8" x14ac:dyDescent="0.3">
      <c r="A5" s="9" t="s">
        <v>42</v>
      </c>
      <c r="B5" s="12">
        <f>AVERAGE(Data!$H$2:$H$101)</f>
        <v>43.08</v>
      </c>
      <c r="C5" s="12">
        <f>MAX(Data!$H$2:$H$101)-MIN(Data!$H$2:$H$101)</f>
        <v>58</v>
      </c>
      <c r="D5" s="12">
        <f>_xlfn.PERCENTILE.EXC(Data!$H$2:$H$101,0.75)-_xlfn.PERCENTILE.EXC(Data!$H$2:$H$101,0.25)</f>
        <v>18</v>
      </c>
      <c r="E5" s="12">
        <f>_xlfn.VAR.S(Data!$H$2:$H$101)</f>
        <v>153.48848484848472</v>
      </c>
      <c r="F5" s="12">
        <f>_xlfn.STDEV.S(Data!$H$2:$H$101)</f>
        <v>12.389046970953203</v>
      </c>
      <c r="G5" s="12">
        <f>_xlfn.STDEV.P(Data!$H$2:$H$101)</f>
        <v>12.326946093822265</v>
      </c>
      <c r="H5" s="12">
        <f>F5/B5*100</f>
        <v>28.758233451609104</v>
      </c>
    </row>
    <row r="8" spans="1:8" ht="22.05" customHeight="1" x14ac:dyDescent="0.3">
      <c r="A8" s="26" t="s">
        <v>28</v>
      </c>
      <c r="B8" s="25"/>
      <c r="C8" s="25"/>
      <c r="D8" s="25"/>
      <c r="E8" s="25"/>
      <c r="F8" s="25"/>
      <c r="G8" s="25"/>
      <c r="H8" s="25"/>
    </row>
    <row r="9" spans="1:8" ht="22.95" customHeight="1" x14ac:dyDescent="0.3">
      <c r="A9" s="23" t="s">
        <v>43</v>
      </c>
      <c r="B9" s="21"/>
      <c r="C9" s="21"/>
      <c r="D9" s="21"/>
      <c r="E9" s="21"/>
      <c r="F9" s="21"/>
      <c r="G9" s="21"/>
      <c r="H9" s="22"/>
    </row>
    <row r="10" spans="1:8" ht="22.95" customHeight="1" x14ac:dyDescent="0.3">
      <c r="A10" s="20" t="s">
        <v>44</v>
      </c>
      <c r="B10" s="21"/>
      <c r="C10" s="21"/>
      <c r="D10" s="21"/>
      <c r="E10" s="21"/>
      <c r="F10" s="21"/>
      <c r="G10" s="21"/>
      <c r="H10" s="22"/>
    </row>
    <row r="11" spans="1:8" ht="36" customHeight="1" x14ac:dyDescent="0.3">
      <c r="A11" s="27" t="s">
        <v>45</v>
      </c>
      <c r="B11" s="21"/>
      <c r="C11" s="21"/>
      <c r="D11" s="21"/>
      <c r="E11" s="21"/>
      <c r="F11" s="21"/>
      <c r="G11" s="21"/>
      <c r="H11" s="22"/>
    </row>
    <row r="12" spans="1:8" ht="22.95" customHeight="1" x14ac:dyDescent="0.3">
      <c r="A12" s="20" t="s">
        <v>46</v>
      </c>
      <c r="B12" s="21"/>
      <c r="C12" s="21"/>
      <c r="D12" s="21"/>
      <c r="E12" s="21"/>
      <c r="F12" s="21"/>
      <c r="G12" s="21"/>
      <c r="H12" s="22"/>
    </row>
    <row r="13" spans="1:8" ht="22.95" customHeight="1" x14ac:dyDescent="0.3">
      <c r="A13" s="23" t="s">
        <v>47</v>
      </c>
      <c r="B13" s="21"/>
      <c r="C13" s="21"/>
      <c r="D13" s="21"/>
      <c r="E13" s="21"/>
      <c r="F13" s="21"/>
      <c r="G13" s="21"/>
      <c r="H13" s="22"/>
    </row>
    <row r="14" spans="1:8" ht="31.05" customHeight="1" x14ac:dyDescent="0.3">
      <c r="A14" s="20" t="s">
        <v>48</v>
      </c>
      <c r="B14" s="21"/>
      <c r="C14" s="21"/>
      <c r="D14" s="21"/>
      <c r="E14" s="21"/>
      <c r="F14" s="21"/>
      <c r="G14" s="21"/>
      <c r="H14" s="22"/>
    </row>
  </sheetData>
  <mergeCells count="8">
    <mergeCell ref="A13:H13"/>
    <mergeCell ref="A14:H14"/>
    <mergeCell ref="A11:H11"/>
    <mergeCell ref="A1:H1"/>
    <mergeCell ref="A8:H8"/>
    <mergeCell ref="A9:H9"/>
    <mergeCell ref="A12:H1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9E89"/>
  </sheetPr>
  <dimension ref="A1:H17"/>
  <sheetViews>
    <sheetView showGridLines="0" workbookViewId="0">
      <pane ySplit="3" topLeftCell="A7" activePane="bottomLeft" state="frozen"/>
      <selection pane="bottomLeft" sqref="A1:H1"/>
    </sheetView>
  </sheetViews>
  <sheetFormatPr defaultRowHeight="15.6" x14ac:dyDescent="0.3"/>
  <cols>
    <col min="1" max="1" width="25" customWidth="1"/>
    <col min="2" max="3" width="31" customWidth="1"/>
    <col min="4" max="8" width="3" customWidth="1"/>
  </cols>
  <sheetData>
    <row r="1" spans="1:8" ht="30" customHeight="1" x14ac:dyDescent="0.3">
      <c r="A1" s="24" t="s">
        <v>49</v>
      </c>
      <c r="B1" s="25"/>
      <c r="C1" s="25"/>
      <c r="D1" s="25"/>
      <c r="E1" s="25"/>
      <c r="F1" s="25"/>
      <c r="G1" s="25"/>
      <c r="H1" s="25"/>
    </row>
    <row r="3" spans="1:8" x14ac:dyDescent="0.3">
      <c r="A3" s="6" t="s">
        <v>20</v>
      </c>
      <c r="B3" s="6" t="s">
        <v>50</v>
      </c>
      <c r="C3" s="6" t="s">
        <v>51</v>
      </c>
    </row>
    <row r="4" spans="1:8" x14ac:dyDescent="0.3">
      <c r="A4" s="7" t="s">
        <v>52</v>
      </c>
      <c r="B4" s="13">
        <f>SUMPRODUCT((Data!$D$2:$D$101-AVERAGE(Data!$D$2:$D$101))^3)/COUNT(Data!$D$2:$D$101)/(_xlfn.VAR.P(Data!$D$2:$D$101)^1.5)</f>
        <v>1.6891632082415173</v>
      </c>
      <c r="C4" s="13">
        <f>SKEW(Data!$D$2:$D$101)</f>
        <v>1.7149960932887964</v>
      </c>
    </row>
    <row r="5" spans="1:8" x14ac:dyDescent="0.3">
      <c r="A5" s="9" t="s">
        <v>53</v>
      </c>
      <c r="B5" s="14">
        <f>SUMPRODUCT((Data!$D$2:$D$101-AVERAGE(Data!$D$2:$D$101))^4)/COUNT(Data!$D$2:$D$101)/(_xlfn.VAR.P(Data!$D$2:$D$101)^2)</f>
        <v>5.9352407741541766</v>
      </c>
      <c r="C5" s="14">
        <f>C6+3</f>
        <v>6.1499550284838502</v>
      </c>
    </row>
    <row r="6" spans="1:8" x14ac:dyDescent="0.3">
      <c r="A6" s="7" t="s">
        <v>54</v>
      </c>
      <c r="B6" s="13">
        <f>B5-3</f>
        <v>2.9352407741541766</v>
      </c>
      <c r="C6" s="13">
        <f>KURT(Data!$D$2:$D$101)</f>
        <v>3.1499550284838507</v>
      </c>
    </row>
    <row r="9" spans="1:8" ht="27.6" customHeight="1" x14ac:dyDescent="0.3">
      <c r="A9" s="15" t="s">
        <v>55</v>
      </c>
      <c r="B9" s="9" t="s">
        <v>56</v>
      </c>
    </row>
    <row r="12" spans="1:8" ht="22.05" customHeight="1" x14ac:dyDescent="0.3">
      <c r="A12" s="26" t="s">
        <v>28</v>
      </c>
      <c r="B12" s="25"/>
      <c r="C12" s="25"/>
      <c r="D12" s="25"/>
      <c r="E12" s="25"/>
      <c r="F12" s="25"/>
      <c r="G12" s="25"/>
      <c r="H12" s="25"/>
    </row>
    <row r="13" spans="1:8" ht="22.95" customHeight="1" x14ac:dyDescent="0.3">
      <c r="A13" s="23" t="s">
        <v>57</v>
      </c>
      <c r="B13" s="21"/>
      <c r="C13" s="21"/>
      <c r="D13" s="21"/>
      <c r="E13" s="21"/>
      <c r="F13" s="21"/>
      <c r="G13" s="21"/>
      <c r="H13" s="22"/>
    </row>
    <row r="14" spans="1:8" ht="31.05" customHeight="1" x14ac:dyDescent="0.3">
      <c r="A14" s="20" t="s">
        <v>58</v>
      </c>
      <c r="B14" s="21"/>
      <c r="C14" s="21"/>
      <c r="D14" s="21"/>
      <c r="E14" s="21"/>
      <c r="F14" s="21"/>
      <c r="G14" s="21"/>
      <c r="H14" s="22"/>
    </row>
    <row r="15" spans="1:8" ht="31.05" customHeight="1" x14ac:dyDescent="0.3">
      <c r="A15" s="23" t="s">
        <v>59</v>
      </c>
      <c r="B15" s="21"/>
      <c r="C15" s="21"/>
      <c r="D15" s="21"/>
      <c r="E15" s="21"/>
      <c r="F15" s="21"/>
      <c r="G15" s="21"/>
      <c r="H15" s="22"/>
    </row>
    <row r="16" spans="1:8" ht="31.05" customHeight="1" x14ac:dyDescent="0.3">
      <c r="A16" s="20" t="s">
        <v>60</v>
      </c>
      <c r="B16" s="21"/>
      <c r="C16" s="21"/>
      <c r="D16" s="21"/>
      <c r="E16" s="21"/>
      <c r="F16" s="21"/>
      <c r="G16" s="21"/>
      <c r="H16" s="22"/>
    </row>
    <row r="17" spans="1:8" ht="31.05" customHeight="1" x14ac:dyDescent="0.3">
      <c r="A17" s="23" t="s">
        <v>61</v>
      </c>
      <c r="B17" s="21"/>
      <c r="C17" s="21"/>
      <c r="D17" s="21"/>
      <c r="E17" s="21"/>
      <c r="F17" s="21"/>
      <c r="G17" s="21"/>
      <c r="H17" s="22"/>
    </row>
  </sheetData>
  <mergeCells count="7">
    <mergeCell ref="A1:H1"/>
    <mergeCell ref="A17:H17"/>
    <mergeCell ref="A12:H12"/>
    <mergeCell ref="A15:H15"/>
    <mergeCell ref="A16:H16"/>
    <mergeCell ref="A13:H13"/>
    <mergeCell ref="A14:H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9E89"/>
  </sheetPr>
  <dimension ref="A1:H123"/>
  <sheetViews>
    <sheetView showGridLines="0" workbookViewId="0">
      <pane ySplit="3" topLeftCell="A12" activePane="bottomLeft" state="frozen"/>
      <selection pane="bottomLeft" sqref="A1:H1"/>
    </sheetView>
  </sheetViews>
  <sheetFormatPr defaultRowHeight="15.6" x14ac:dyDescent="0.3"/>
  <cols>
    <col min="1" max="1" width="20" customWidth="1"/>
    <col min="2" max="2" width="17" customWidth="1"/>
    <col min="3" max="3" width="13" customWidth="1"/>
    <col min="4" max="4" width="14" customWidth="1"/>
    <col min="5" max="5" width="16" customWidth="1"/>
    <col min="6" max="8" width="3" customWidth="1"/>
  </cols>
  <sheetData>
    <row r="1" spans="1:8" ht="30" customHeight="1" x14ac:dyDescent="0.3">
      <c r="A1" s="24" t="s">
        <v>62</v>
      </c>
      <c r="B1" s="25"/>
      <c r="C1" s="25"/>
      <c r="D1" s="25"/>
      <c r="E1" s="25"/>
      <c r="F1" s="25"/>
      <c r="G1" s="25"/>
      <c r="H1" s="25"/>
    </row>
    <row r="3" spans="1:8" x14ac:dyDescent="0.3">
      <c r="A3" s="15" t="s">
        <v>22</v>
      </c>
      <c r="B3" s="10">
        <f>AVERAGE(Data!$D$2:$D$101)</f>
        <v>77.600500000000025</v>
      </c>
    </row>
    <row r="4" spans="1:8" ht="27.6" customHeight="1" x14ac:dyDescent="0.3">
      <c r="A4" s="15" t="s">
        <v>39</v>
      </c>
      <c r="B4" s="10">
        <f>_xlfn.STDEV.S(Data!$D$2:$D$101)</f>
        <v>55.664938430348975</v>
      </c>
    </row>
    <row r="5" spans="1:8" x14ac:dyDescent="0.3">
      <c r="A5" s="15" t="s">
        <v>63</v>
      </c>
      <c r="B5" s="10">
        <f>_xlfn.PERCENTILE.EXC(Data!$D$2:$D$101,0.25)</f>
        <v>39.6</v>
      </c>
    </row>
    <row r="6" spans="1:8" x14ac:dyDescent="0.3">
      <c r="A6" s="15" t="s">
        <v>64</v>
      </c>
      <c r="B6" s="10">
        <f>_xlfn.PERCENTILE.EXC(Data!$D$2:$D$101,0.75)</f>
        <v>101.9</v>
      </c>
    </row>
    <row r="7" spans="1:8" x14ac:dyDescent="0.3">
      <c r="A7" s="15" t="s">
        <v>37</v>
      </c>
      <c r="B7" s="10">
        <f>B6-B5</f>
        <v>62.300000000000004</v>
      </c>
    </row>
    <row r="8" spans="1:8" x14ac:dyDescent="0.3">
      <c r="A8" s="15" t="s">
        <v>65</v>
      </c>
      <c r="B8" s="10">
        <f>B5-1.5*B7</f>
        <v>-53.85</v>
      </c>
    </row>
    <row r="9" spans="1:8" x14ac:dyDescent="0.3">
      <c r="A9" s="15" t="s">
        <v>66</v>
      </c>
      <c r="B9" s="10">
        <f>B6+1.5*B7</f>
        <v>195.35000000000002</v>
      </c>
    </row>
    <row r="10" spans="1:8" x14ac:dyDescent="0.3">
      <c r="A10" s="15" t="s">
        <v>67</v>
      </c>
      <c r="B10" s="9">
        <f>COUNTIF(D15:D114,"Flag")</f>
        <v>5</v>
      </c>
    </row>
    <row r="11" spans="1:8" x14ac:dyDescent="0.3">
      <c r="A11" s="15" t="s">
        <v>68</v>
      </c>
      <c r="B11" s="9">
        <f>COUNTIF(E15:E114,"Flag")</f>
        <v>3</v>
      </c>
    </row>
    <row r="14" spans="1:8" x14ac:dyDescent="0.3">
      <c r="A14" s="6" t="s">
        <v>0</v>
      </c>
      <c r="B14" s="6" t="s">
        <v>21</v>
      </c>
      <c r="C14" s="6" t="s">
        <v>69</v>
      </c>
      <c r="D14" s="6" t="s">
        <v>70</v>
      </c>
      <c r="E14" s="6" t="s">
        <v>71</v>
      </c>
    </row>
    <row r="15" spans="1:8" x14ac:dyDescent="0.3">
      <c r="A15" s="9">
        <f>Data!A2</f>
        <v>1</v>
      </c>
      <c r="B15" s="10">
        <f>Data!D2</f>
        <v>39.5</v>
      </c>
      <c r="C15" s="14">
        <f t="shared" ref="C15:C46" si="0">(B15-$B$3)/$B$4</f>
        <v>-0.68446136965863102</v>
      </c>
      <c r="D15" s="9" t="str">
        <f t="shared" ref="D15:D46" si="1">IF(OR(B15&lt;$B$8,B15&gt;$B$9),"Flag","")</f>
        <v/>
      </c>
      <c r="E15" s="9" t="str">
        <f t="shared" ref="E15:E46" si="2">IF(ABS(C15)&gt;3,"Flag","")</f>
        <v/>
      </c>
    </row>
    <row r="16" spans="1:8" x14ac:dyDescent="0.3">
      <c r="A16" s="7">
        <f>Data!A3</f>
        <v>2</v>
      </c>
      <c r="B16" s="8">
        <f>Data!D3</f>
        <v>102.4</v>
      </c>
      <c r="C16" s="13">
        <f t="shared" si="0"/>
        <v>0.44551383149431623</v>
      </c>
      <c r="D16" s="7" t="str">
        <f t="shared" si="1"/>
        <v/>
      </c>
      <c r="E16" s="7" t="str">
        <f t="shared" si="2"/>
        <v/>
      </c>
    </row>
    <row r="17" spans="1:5" x14ac:dyDescent="0.3">
      <c r="A17" s="9">
        <f>Data!A4</f>
        <v>3</v>
      </c>
      <c r="B17" s="10">
        <f>Data!D4</f>
        <v>22.5</v>
      </c>
      <c r="C17" s="14">
        <f t="shared" si="0"/>
        <v>-0.98986007267294107</v>
      </c>
      <c r="D17" s="9" t="str">
        <f t="shared" si="1"/>
        <v/>
      </c>
      <c r="E17" s="9" t="str">
        <f t="shared" si="2"/>
        <v/>
      </c>
    </row>
    <row r="18" spans="1:5" x14ac:dyDescent="0.3">
      <c r="A18" s="7">
        <f>Data!A5</f>
        <v>4</v>
      </c>
      <c r="B18" s="8">
        <f>Data!D5</f>
        <v>100.4</v>
      </c>
      <c r="C18" s="13">
        <f t="shared" si="0"/>
        <v>0.40958457231616208</v>
      </c>
      <c r="D18" s="7" t="str">
        <f t="shared" si="1"/>
        <v/>
      </c>
      <c r="E18" s="7" t="str">
        <f t="shared" si="2"/>
        <v/>
      </c>
    </row>
    <row r="19" spans="1:5" x14ac:dyDescent="0.3">
      <c r="A19" s="9">
        <f>Data!A6</f>
        <v>5</v>
      </c>
      <c r="B19" s="10">
        <f>Data!D6</f>
        <v>54</v>
      </c>
      <c r="C19" s="14">
        <f t="shared" si="0"/>
        <v>-0.42397424061701361</v>
      </c>
      <c r="D19" s="9" t="str">
        <f t="shared" si="1"/>
        <v/>
      </c>
      <c r="E19" s="9" t="str">
        <f t="shared" si="2"/>
        <v/>
      </c>
    </row>
    <row r="20" spans="1:5" x14ac:dyDescent="0.3">
      <c r="A20" s="7">
        <f>Data!A7</f>
        <v>6</v>
      </c>
      <c r="B20" s="8">
        <f>Data!D7</f>
        <v>44.5</v>
      </c>
      <c r="C20" s="13">
        <f t="shared" si="0"/>
        <v>-0.59463822171324565</v>
      </c>
      <c r="D20" s="7" t="str">
        <f t="shared" si="1"/>
        <v/>
      </c>
      <c r="E20" s="7" t="str">
        <f t="shared" si="2"/>
        <v/>
      </c>
    </row>
    <row r="21" spans="1:5" x14ac:dyDescent="0.3">
      <c r="A21" s="9">
        <f>Data!A8</f>
        <v>7</v>
      </c>
      <c r="B21" s="10">
        <f>Data!D8</f>
        <v>78</v>
      </c>
      <c r="C21" s="14">
        <f t="shared" si="0"/>
        <v>7.1768695208358343E-3</v>
      </c>
      <c r="D21" s="9" t="str">
        <f t="shared" si="1"/>
        <v/>
      </c>
      <c r="E21" s="9" t="str">
        <f t="shared" si="2"/>
        <v/>
      </c>
    </row>
    <row r="22" spans="1:5" x14ac:dyDescent="0.3">
      <c r="A22" s="7">
        <f>Data!A9</f>
        <v>8</v>
      </c>
      <c r="B22" s="8">
        <f>Data!D9</f>
        <v>22.5</v>
      </c>
      <c r="C22" s="13">
        <f t="shared" si="0"/>
        <v>-0.98986007267294107</v>
      </c>
      <c r="D22" s="7" t="str">
        <f t="shared" si="1"/>
        <v/>
      </c>
      <c r="E22" s="7" t="str">
        <f t="shared" si="2"/>
        <v/>
      </c>
    </row>
    <row r="23" spans="1:5" x14ac:dyDescent="0.3">
      <c r="A23" s="9">
        <f>Data!A10</f>
        <v>9</v>
      </c>
      <c r="B23" s="10">
        <f>Data!D10</f>
        <v>56.52</v>
      </c>
      <c r="C23" s="14">
        <f t="shared" si="0"/>
        <v>-0.3787033740525394</v>
      </c>
      <c r="D23" s="9" t="str">
        <f t="shared" si="1"/>
        <v/>
      </c>
      <c r="E23" s="9" t="str">
        <f t="shared" si="2"/>
        <v/>
      </c>
    </row>
    <row r="24" spans="1:5" x14ac:dyDescent="0.3">
      <c r="A24" s="7">
        <f>Data!A11</f>
        <v>10</v>
      </c>
      <c r="B24" s="8">
        <f>Data!D11</f>
        <v>44.5</v>
      </c>
      <c r="C24" s="13">
        <f t="shared" si="0"/>
        <v>-0.59463822171324565</v>
      </c>
      <c r="D24" s="7" t="str">
        <f t="shared" si="1"/>
        <v/>
      </c>
      <c r="E24" s="7" t="str">
        <f t="shared" si="2"/>
        <v/>
      </c>
    </row>
    <row r="25" spans="1:5" x14ac:dyDescent="0.3">
      <c r="A25" s="9">
        <f>Data!A12</f>
        <v>11</v>
      </c>
      <c r="B25" s="10">
        <f>Data!D12</f>
        <v>29.5</v>
      </c>
      <c r="C25" s="14">
        <f t="shared" si="0"/>
        <v>-0.86410766554940166</v>
      </c>
      <c r="D25" s="9" t="str">
        <f t="shared" si="1"/>
        <v/>
      </c>
      <c r="E25" s="9" t="str">
        <f t="shared" si="2"/>
        <v/>
      </c>
    </row>
    <row r="26" spans="1:5" x14ac:dyDescent="0.3">
      <c r="A26" s="7">
        <f>Data!A13</f>
        <v>12</v>
      </c>
      <c r="B26" s="8">
        <f>Data!D13</f>
        <v>31.6</v>
      </c>
      <c r="C26" s="13">
        <f t="shared" si="0"/>
        <v>-0.82638194341233973</v>
      </c>
      <c r="D26" s="7" t="str">
        <f t="shared" si="1"/>
        <v/>
      </c>
      <c r="E26" s="7" t="str">
        <f t="shared" si="2"/>
        <v/>
      </c>
    </row>
    <row r="27" spans="1:5" x14ac:dyDescent="0.3">
      <c r="A27" s="9">
        <f>Data!A14</f>
        <v>13</v>
      </c>
      <c r="B27" s="10">
        <f>Data!D14</f>
        <v>160.4</v>
      </c>
      <c r="C27" s="14">
        <f t="shared" si="0"/>
        <v>1.4874623476607858</v>
      </c>
      <c r="D27" s="9" t="str">
        <f t="shared" si="1"/>
        <v/>
      </c>
      <c r="E27" s="9" t="str">
        <f t="shared" si="2"/>
        <v/>
      </c>
    </row>
    <row r="28" spans="1:5" x14ac:dyDescent="0.3">
      <c r="A28" s="7">
        <f>Data!A15</f>
        <v>14</v>
      </c>
      <c r="B28" s="8">
        <f>Data!D15</f>
        <v>64.5</v>
      </c>
      <c r="C28" s="13">
        <f t="shared" si="0"/>
        <v>-0.23534562993170449</v>
      </c>
      <c r="D28" s="7" t="str">
        <f t="shared" si="1"/>
        <v/>
      </c>
      <c r="E28" s="7" t="str">
        <f t="shared" si="2"/>
        <v/>
      </c>
    </row>
    <row r="29" spans="1:5" x14ac:dyDescent="0.3">
      <c r="A29" s="9">
        <f>Data!A16</f>
        <v>15</v>
      </c>
      <c r="B29" s="10">
        <f>Data!D16</f>
        <v>49.5</v>
      </c>
      <c r="C29" s="14">
        <f t="shared" si="0"/>
        <v>-0.50481507376786039</v>
      </c>
      <c r="D29" s="9" t="str">
        <f t="shared" si="1"/>
        <v/>
      </c>
      <c r="E29" s="9" t="str">
        <f t="shared" si="2"/>
        <v/>
      </c>
    </row>
    <row r="30" spans="1:5" x14ac:dyDescent="0.3">
      <c r="A30" s="7">
        <f>Data!A17</f>
        <v>16</v>
      </c>
      <c r="B30" s="8">
        <f>Data!D17</f>
        <v>71.400000000000006</v>
      </c>
      <c r="C30" s="13">
        <f t="shared" si="0"/>
        <v>-0.11138968576707266</v>
      </c>
      <c r="D30" s="7" t="str">
        <f t="shared" si="1"/>
        <v/>
      </c>
      <c r="E30" s="7" t="str">
        <f t="shared" si="2"/>
        <v/>
      </c>
    </row>
    <row r="31" spans="1:5" x14ac:dyDescent="0.3">
      <c r="A31" s="9">
        <f>Data!A18</f>
        <v>17</v>
      </c>
      <c r="B31" s="10">
        <f>Data!D18</f>
        <v>94</v>
      </c>
      <c r="C31" s="14">
        <f t="shared" si="0"/>
        <v>0.29461094294606882</v>
      </c>
      <c r="D31" s="9" t="str">
        <f t="shared" si="1"/>
        <v/>
      </c>
      <c r="E31" s="9" t="str">
        <f t="shared" si="2"/>
        <v/>
      </c>
    </row>
    <row r="32" spans="1:5" x14ac:dyDescent="0.3">
      <c r="A32" s="7">
        <f>Data!A19</f>
        <v>18</v>
      </c>
      <c r="B32" s="8">
        <f>Data!D19</f>
        <v>54.5</v>
      </c>
      <c r="C32" s="13">
        <f t="shared" si="0"/>
        <v>-0.41499192582247507</v>
      </c>
      <c r="D32" s="7" t="str">
        <f t="shared" si="1"/>
        <v/>
      </c>
      <c r="E32" s="7" t="str">
        <f t="shared" si="2"/>
        <v/>
      </c>
    </row>
    <row r="33" spans="1:5" x14ac:dyDescent="0.3">
      <c r="A33" s="9">
        <f>Data!A20</f>
        <v>19</v>
      </c>
      <c r="B33" s="10">
        <f>Data!D20</f>
        <v>38.5</v>
      </c>
      <c r="C33" s="14">
        <f t="shared" si="0"/>
        <v>-0.7024259992477081</v>
      </c>
      <c r="D33" s="9" t="str">
        <f t="shared" si="1"/>
        <v/>
      </c>
      <c r="E33" s="9" t="str">
        <f t="shared" si="2"/>
        <v/>
      </c>
    </row>
    <row r="34" spans="1:5" x14ac:dyDescent="0.3">
      <c r="A34" s="7">
        <f>Data!A21</f>
        <v>20</v>
      </c>
      <c r="B34" s="8">
        <f>Data!D21</f>
        <v>44.8</v>
      </c>
      <c r="C34" s="13">
        <f t="shared" si="0"/>
        <v>-0.58924883283652263</v>
      </c>
      <c r="D34" s="7" t="str">
        <f t="shared" si="1"/>
        <v/>
      </c>
      <c r="E34" s="7" t="str">
        <f t="shared" si="2"/>
        <v/>
      </c>
    </row>
    <row r="35" spans="1:5" x14ac:dyDescent="0.3">
      <c r="A35" s="9">
        <f>Data!A22</f>
        <v>21</v>
      </c>
      <c r="B35" s="10">
        <f>Data!D22</f>
        <v>31.6</v>
      </c>
      <c r="C35" s="14">
        <f t="shared" si="0"/>
        <v>-0.82638194341233973</v>
      </c>
      <c r="D35" s="9" t="str">
        <f t="shared" si="1"/>
        <v/>
      </c>
      <c r="E35" s="9" t="str">
        <f t="shared" si="2"/>
        <v/>
      </c>
    </row>
    <row r="36" spans="1:5" x14ac:dyDescent="0.3">
      <c r="A36" s="7">
        <f>Data!A23</f>
        <v>22</v>
      </c>
      <c r="B36" s="8">
        <f>Data!D23</f>
        <v>70.819999999999993</v>
      </c>
      <c r="C36" s="13">
        <f t="shared" si="0"/>
        <v>-0.12180917092873758</v>
      </c>
      <c r="D36" s="7" t="str">
        <f t="shared" si="1"/>
        <v/>
      </c>
      <c r="E36" s="7" t="str">
        <f t="shared" si="2"/>
        <v/>
      </c>
    </row>
    <row r="37" spans="1:5" x14ac:dyDescent="0.3">
      <c r="A37" s="16">
        <f>Data!A24</f>
        <v>23</v>
      </c>
      <c r="B37" s="17">
        <f>Data!D24</f>
        <v>266</v>
      </c>
      <c r="C37" s="18">
        <f t="shared" si="0"/>
        <v>3.3845272322673234</v>
      </c>
      <c r="D37" s="16" t="str">
        <f t="shared" si="1"/>
        <v>Flag</v>
      </c>
      <c r="E37" s="16" t="str">
        <f t="shared" si="2"/>
        <v>Flag</v>
      </c>
    </row>
    <row r="38" spans="1:5" x14ac:dyDescent="0.3">
      <c r="A38" s="7">
        <f>Data!A25</f>
        <v>24</v>
      </c>
      <c r="B38" s="8">
        <f>Data!D25</f>
        <v>74</v>
      </c>
      <c r="C38" s="13">
        <f t="shared" si="0"/>
        <v>-6.4681648835472408E-2</v>
      </c>
      <c r="D38" s="7" t="str">
        <f t="shared" si="1"/>
        <v/>
      </c>
      <c r="E38" s="7" t="str">
        <f t="shared" si="2"/>
        <v/>
      </c>
    </row>
    <row r="39" spans="1:5" x14ac:dyDescent="0.3">
      <c r="A39" s="9">
        <f>Data!A26</f>
        <v>25</v>
      </c>
      <c r="B39" s="10">
        <f>Data!D26</f>
        <v>39.5</v>
      </c>
      <c r="C39" s="14">
        <f t="shared" si="0"/>
        <v>-0.68446136965863102</v>
      </c>
      <c r="D39" s="9" t="str">
        <f t="shared" si="1"/>
        <v/>
      </c>
      <c r="E39" s="9" t="str">
        <f t="shared" si="2"/>
        <v/>
      </c>
    </row>
    <row r="40" spans="1:5" x14ac:dyDescent="0.3">
      <c r="A40" s="7">
        <f>Data!A27</f>
        <v>26</v>
      </c>
      <c r="B40" s="8">
        <f>Data!D27</f>
        <v>30.02</v>
      </c>
      <c r="C40" s="13">
        <f t="shared" si="0"/>
        <v>-0.8547660581630816</v>
      </c>
      <c r="D40" s="7" t="str">
        <f t="shared" si="1"/>
        <v/>
      </c>
      <c r="E40" s="7" t="str">
        <f t="shared" si="2"/>
        <v/>
      </c>
    </row>
    <row r="41" spans="1:5" x14ac:dyDescent="0.3">
      <c r="A41" s="9">
        <f>Data!A28</f>
        <v>27</v>
      </c>
      <c r="B41" s="10">
        <f>Data!D28</f>
        <v>44.5</v>
      </c>
      <c r="C41" s="14">
        <f t="shared" si="0"/>
        <v>-0.59463822171324565</v>
      </c>
      <c r="D41" s="9" t="str">
        <f t="shared" si="1"/>
        <v/>
      </c>
      <c r="E41" s="9" t="str">
        <f t="shared" si="2"/>
        <v/>
      </c>
    </row>
    <row r="42" spans="1:5" x14ac:dyDescent="0.3">
      <c r="A42" s="7">
        <f>Data!A29</f>
        <v>28</v>
      </c>
      <c r="B42" s="8">
        <f>Data!D29</f>
        <v>192.8</v>
      </c>
      <c r="C42" s="13">
        <f t="shared" si="0"/>
        <v>2.0695163463468824</v>
      </c>
      <c r="D42" s="7" t="str">
        <f t="shared" si="1"/>
        <v/>
      </c>
      <c r="E42" s="7" t="str">
        <f t="shared" si="2"/>
        <v/>
      </c>
    </row>
    <row r="43" spans="1:5" x14ac:dyDescent="0.3">
      <c r="A43" s="9">
        <f>Data!A30</f>
        <v>29</v>
      </c>
      <c r="B43" s="10">
        <f>Data!D30</f>
        <v>71.2</v>
      </c>
      <c r="C43" s="14">
        <f t="shared" si="0"/>
        <v>-0.11498261168488813</v>
      </c>
      <c r="D43" s="9" t="str">
        <f t="shared" si="1"/>
        <v/>
      </c>
      <c r="E43" s="9" t="str">
        <f t="shared" si="2"/>
        <v/>
      </c>
    </row>
    <row r="44" spans="1:5" x14ac:dyDescent="0.3">
      <c r="A44" s="7">
        <f>Data!A31</f>
        <v>30</v>
      </c>
      <c r="B44" s="8">
        <f>Data!D31</f>
        <v>18</v>
      </c>
      <c r="C44" s="13">
        <f t="shared" si="0"/>
        <v>-1.0707009058237877</v>
      </c>
      <c r="D44" s="7" t="str">
        <f t="shared" si="1"/>
        <v/>
      </c>
      <c r="E44" s="7" t="str">
        <f t="shared" si="2"/>
        <v/>
      </c>
    </row>
    <row r="45" spans="1:5" x14ac:dyDescent="0.3">
      <c r="A45" s="9">
        <f>Data!A32</f>
        <v>31</v>
      </c>
      <c r="B45" s="10">
        <f>Data!D32</f>
        <v>63.2</v>
      </c>
      <c r="C45" s="14">
        <f t="shared" si="0"/>
        <v>-0.25869964839750459</v>
      </c>
      <c r="D45" s="9" t="str">
        <f t="shared" si="1"/>
        <v/>
      </c>
      <c r="E45" s="9" t="str">
        <f t="shared" si="2"/>
        <v/>
      </c>
    </row>
    <row r="46" spans="1:5" x14ac:dyDescent="0.3">
      <c r="A46" s="7">
        <f>Data!A33</f>
        <v>32</v>
      </c>
      <c r="B46" s="8">
        <f>Data!D33</f>
        <v>75</v>
      </c>
      <c r="C46" s="13">
        <f t="shared" si="0"/>
        <v>-4.6717019246395347E-2</v>
      </c>
      <c r="D46" s="7" t="str">
        <f t="shared" si="1"/>
        <v/>
      </c>
      <c r="E46" s="7" t="str">
        <f t="shared" si="2"/>
        <v/>
      </c>
    </row>
    <row r="47" spans="1:5" x14ac:dyDescent="0.3">
      <c r="A47" s="9">
        <f>Data!A34</f>
        <v>33</v>
      </c>
      <c r="B47" s="10">
        <f>Data!D34</f>
        <v>63.2</v>
      </c>
      <c r="C47" s="14">
        <f t="shared" ref="C47:C78" si="3">(B47-$B$3)/$B$4</f>
        <v>-0.25869964839750459</v>
      </c>
      <c r="D47" s="9" t="str">
        <f t="shared" ref="D47:D78" si="4">IF(OR(B47&lt;$B$8,B47&gt;$B$9),"Flag","")</f>
        <v/>
      </c>
      <c r="E47" s="9" t="str">
        <f t="shared" ref="E47:E78" si="5">IF(ABS(C47)&gt;3,"Flag","")</f>
        <v/>
      </c>
    </row>
    <row r="48" spans="1:5" x14ac:dyDescent="0.3">
      <c r="A48" s="7">
        <f>Data!A35</f>
        <v>34</v>
      </c>
      <c r="B48" s="8">
        <f>Data!D35</f>
        <v>40</v>
      </c>
      <c r="C48" s="13">
        <f t="shared" si="3"/>
        <v>-0.67547905486409243</v>
      </c>
      <c r="D48" s="7" t="str">
        <f t="shared" si="4"/>
        <v/>
      </c>
      <c r="E48" s="7" t="str">
        <f t="shared" si="5"/>
        <v/>
      </c>
    </row>
    <row r="49" spans="1:5" x14ac:dyDescent="0.3">
      <c r="A49" s="9">
        <f>Data!A36</f>
        <v>35</v>
      </c>
      <c r="B49" s="10">
        <f>Data!D36</f>
        <v>105.5</v>
      </c>
      <c r="C49" s="14">
        <f t="shared" si="3"/>
        <v>0.50120418322045501</v>
      </c>
      <c r="D49" s="9" t="str">
        <f t="shared" si="4"/>
        <v/>
      </c>
      <c r="E49" s="9" t="str">
        <f t="shared" si="5"/>
        <v/>
      </c>
    </row>
    <row r="50" spans="1:5" x14ac:dyDescent="0.3">
      <c r="A50" s="7">
        <f>Data!A37</f>
        <v>36</v>
      </c>
      <c r="B50" s="8">
        <f>Data!D37</f>
        <v>29.5</v>
      </c>
      <c r="C50" s="13">
        <f t="shared" si="3"/>
        <v>-0.86410766554940166</v>
      </c>
      <c r="D50" s="7" t="str">
        <f t="shared" si="4"/>
        <v/>
      </c>
      <c r="E50" s="7" t="str">
        <f t="shared" si="5"/>
        <v/>
      </c>
    </row>
    <row r="51" spans="1:5" x14ac:dyDescent="0.3">
      <c r="A51" s="9">
        <f>Data!A38</f>
        <v>37</v>
      </c>
      <c r="B51" s="10">
        <f>Data!D38</f>
        <v>102.5</v>
      </c>
      <c r="C51" s="14">
        <f t="shared" si="3"/>
        <v>0.44731029445322384</v>
      </c>
      <c r="D51" s="9" t="str">
        <f t="shared" si="4"/>
        <v/>
      </c>
      <c r="E51" s="9" t="str">
        <f t="shared" si="5"/>
        <v/>
      </c>
    </row>
    <row r="52" spans="1:5" x14ac:dyDescent="0.3">
      <c r="A52" s="7">
        <f>Data!A39</f>
        <v>38</v>
      </c>
      <c r="B52" s="8">
        <f>Data!D39</f>
        <v>117.5</v>
      </c>
      <c r="C52" s="13">
        <f t="shared" si="3"/>
        <v>0.71677973828937969</v>
      </c>
      <c r="D52" s="7" t="str">
        <f t="shared" si="4"/>
        <v/>
      </c>
      <c r="E52" s="7" t="str">
        <f t="shared" si="5"/>
        <v/>
      </c>
    </row>
    <row r="53" spans="1:5" x14ac:dyDescent="0.3">
      <c r="A53" s="9">
        <f>Data!A40</f>
        <v>39</v>
      </c>
      <c r="B53" s="10">
        <f>Data!D40</f>
        <v>13.23</v>
      </c>
      <c r="C53" s="14">
        <f t="shared" si="3"/>
        <v>-1.1563921889636852</v>
      </c>
      <c r="D53" s="9" t="str">
        <f t="shared" si="4"/>
        <v/>
      </c>
      <c r="E53" s="9" t="str">
        <f t="shared" si="5"/>
        <v/>
      </c>
    </row>
    <row r="54" spans="1:5" x14ac:dyDescent="0.3">
      <c r="A54" s="7">
        <f>Data!A41</f>
        <v>40</v>
      </c>
      <c r="B54" s="8">
        <f>Data!D41</f>
        <v>52.5</v>
      </c>
      <c r="C54" s="13">
        <f t="shared" si="3"/>
        <v>-0.45092118500062922</v>
      </c>
      <c r="D54" s="7" t="str">
        <f t="shared" si="4"/>
        <v/>
      </c>
      <c r="E54" s="7" t="str">
        <f t="shared" si="5"/>
        <v/>
      </c>
    </row>
    <row r="55" spans="1:5" x14ac:dyDescent="0.3">
      <c r="A55" s="16">
        <f>Data!A42</f>
        <v>41</v>
      </c>
      <c r="B55" s="17">
        <f>Data!D42</f>
        <v>198.8</v>
      </c>
      <c r="C55" s="18">
        <f t="shared" si="3"/>
        <v>2.1773041238813451</v>
      </c>
      <c r="D55" s="16" t="str">
        <f t="shared" si="4"/>
        <v>Flag</v>
      </c>
      <c r="E55" s="16" t="str">
        <f t="shared" si="5"/>
        <v/>
      </c>
    </row>
    <row r="56" spans="1:5" x14ac:dyDescent="0.3">
      <c r="A56" s="7">
        <f>Data!A43</f>
        <v>42</v>
      </c>
      <c r="B56" s="8">
        <f>Data!D43</f>
        <v>19.5</v>
      </c>
      <c r="C56" s="13">
        <f t="shared" si="3"/>
        <v>-1.0437539614401723</v>
      </c>
      <c r="D56" s="7" t="str">
        <f t="shared" si="4"/>
        <v/>
      </c>
      <c r="E56" s="7" t="str">
        <f t="shared" si="5"/>
        <v/>
      </c>
    </row>
    <row r="57" spans="1:5" x14ac:dyDescent="0.3">
      <c r="A57" s="9">
        <f>Data!A44</f>
        <v>43</v>
      </c>
      <c r="B57" s="10">
        <f>Data!D44</f>
        <v>123.5</v>
      </c>
      <c r="C57" s="14">
        <f t="shared" si="3"/>
        <v>0.82456751582384213</v>
      </c>
      <c r="D57" s="9" t="str">
        <f t="shared" si="4"/>
        <v/>
      </c>
      <c r="E57" s="9" t="str">
        <f t="shared" si="5"/>
        <v/>
      </c>
    </row>
    <row r="58" spans="1:5" x14ac:dyDescent="0.3">
      <c r="A58" s="7">
        <f>Data!A45</f>
        <v>44</v>
      </c>
      <c r="B58" s="8">
        <f>Data!D45</f>
        <v>62.4</v>
      </c>
      <c r="C58" s="13">
        <f t="shared" si="3"/>
        <v>-0.27307135206876632</v>
      </c>
      <c r="D58" s="7" t="str">
        <f t="shared" si="4"/>
        <v/>
      </c>
      <c r="E58" s="7" t="str">
        <f t="shared" si="5"/>
        <v/>
      </c>
    </row>
    <row r="59" spans="1:5" x14ac:dyDescent="0.3">
      <c r="A59" s="9">
        <f>Data!A46</f>
        <v>45</v>
      </c>
      <c r="B59" s="10">
        <f>Data!D46</f>
        <v>23.8</v>
      </c>
      <c r="C59" s="14">
        <f t="shared" si="3"/>
        <v>-0.96650605420714086</v>
      </c>
      <c r="D59" s="9" t="str">
        <f t="shared" si="4"/>
        <v/>
      </c>
      <c r="E59" s="9" t="str">
        <f t="shared" si="5"/>
        <v/>
      </c>
    </row>
    <row r="60" spans="1:5" x14ac:dyDescent="0.3">
      <c r="A60" s="7">
        <f>Data!A47</f>
        <v>46</v>
      </c>
      <c r="B60" s="8">
        <f>Data!D47</f>
        <v>39.6</v>
      </c>
      <c r="C60" s="13">
        <f t="shared" si="3"/>
        <v>-0.68266490669972324</v>
      </c>
      <c r="D60" s="7" t="str">
        <f t="shared" si="4"/>
        <v/>
      </c>
      <c r="E60" s="7" t="str">
        <f t="shared" si="5"/>
        <v/>
      </c>
    </row>
    <row r="61" spans="1:5" x14ac:dyDescent="0.3">
      <c r="A61" s="9">
        <f>Data!A48</f>
        <v>47</v>
      </c>
      <c r="B61" s="10">
        <f>Data!D48</f>
        <v>25</v>
      </c>
      <c r="C61" s="14">
        <f t="shared" si="3"/>
        <v>-0.94494849870024833</v>
      </c>
      <c r="D61" s="9" t="str">
        <f t="shared" si="4"/>
        <v/>
      </c>
      <c r="E61" s="9" t="str">
        <f t="shared" si="5"/>
        <v/>
      </c>
    </row>
    <row r="62" spans="1:5" x14ac:dyDescent="0.3">
      <c r="A62" s="7">
        <f>Data!A49</f>
        <v>48</v>
      </c>
      <c r="B62" s="8">
        <f>Data!D49</f>
        <v>63.64</v>
      </c>
      <c r="C62" s="13">
        <f t="shared" si="3"/>
        <v>-0.25079521137831073</v>
      </c>
      <c r="D62" s="7" t="str">
        <f t="shared" si="4"/>
        <v/>
      </c>
      <c r="E62" s="7" t="str">
        <f t="shared" si="5"/>
        <v/>
      </c>
    </row>
    <row r="63" spans="1:5" x14ac:dyDescent="0.3">
      <c r="A63" s="9">
        <f>Data!A50</f>
        <v>49</v>
      </c>
      <c r="B63" s="10">
        <f>Data!D50</f>
        <v>14.82</v>
      </c>
      <c r="C63" s="14">
        <f t="shared" si="3"/>
        <v>-1.127828427917053</v>
      </c>
      <c r="D63" s="9" t="str">
        <f t="shared" si="4"/>
        <v/>
      </c>
      <c r="E63" s="9" t="str">
        <f t="shared" si="5"/>
        <v/>
      </c>
    </row>
    <row r="64" spans="1:5" x14ac:dyDescent="0.3">
      <c r="A64" s="7">
        <f>Data!A51</f>
        <v>50</v>
      </c>
      <c r="B64" s="8">
        <f>Data!D51</f>
        <v>145.19999999999999</v>
      </c>
      <c r="C64" s="13">
        <f t="shared" si="3"/>
        <v>1.2143999779068142</v>
      </c>
      <c r="D64" s="7" t="str">
        <f t="shared" si="4"/>
        <v/>
      </c>
      <c r="E64" s="7" t="str">
        <f t="shared" si="5"/>
        <v/>
      </c>
    </row>
    <row r="65" spans="1:5" x14ac:dyDescent="0.3">
      <c r="A65" s="9">
        <f>Data!A52</f>
        <v>51</v>
      </c>
      <c r="B65" s="10">
        <f>Data!D52</f>
        <v>176.62</v>
      </c>
      <c r="C65" s="14">
        <f t="shared" si="3"/>
        <v>1.7788486395956156</v>
      </c>
      <c r="D65" s="9" t="str">
        <f t="shared" si="4"/>
        <v/>
      </c>
      <c r="E65" s="9" t="str">
        <f t="shared" si="5"/>
        <v/>
      </c>
    </row>
    <row r="66" spans="1:5" x14ac:dyDescent="0.3">
      <c r="A66" s="7">
        <f>Data!A53</f>
        <v>52</v>
      </c>
      <c r="B66" s="8">
        <f>Data!D53</f>
        <v>118.8</v>
      </c>
      <c r="C66" s="13">
        <f t="shared" si="3"/>
        <v>0.74013375675517989</v>
      </c>
      <c r="D66" s="7" t="str">
        <f t="shared" si="4"/>
        <v/>
      </c>
      <c r="E66" s="7" t="str">
        <f t="shared" si="5"/>
        <v/>
      </c>
    </row>
    <row r="67" spans="1:5" x14ac:dyDescent="0.3">
      <c r="A67" s="9">
        <f>Data!A54</f>
        <v>53</v>
      </c>
      <c r="B67" s="10">
        <f>Data!D54</f>
        <v>58</v>
      </c>
      <c r="C67" s="14">
        <f t="shared" si="3"/>
        <v>-0.35211572226070537</v>
      </c>
      <c r="D67" s="9" t="str">
        <f t="shared" si="4"/>
        <v/>
      </c>
      <c r="E67" s="9" t="str">
        <f t="shared" si="5"/>
        <v/>
      </c>
    </row>
    <row r="68" spans="1:5" x14ac:dyDescent="0.3">
      <c r="A68" s="7">
        <f>Data!A55</f>
        <v>54</v>
      </c>
      <c r="B68" s="8">
        <f>Data!D55</f>
        <v>74</v>
      </c>
      <c r="C68" s="13">
        <f t="shared" si="3"/>
        <v>-6.4681648835472408E-2</v>
      </c>
      <c r="D68" s="7" t="str">
        <f t="shared" si="4"/>
        <v/>
      </c>
      <c r="E68" s="7" t="str">
        <f t="shared" si="5"/>
        <v/>
      </c>
    </row>
    <row r="69" spans="1:5" x14ac:dyDescent="0.3">
      <c r="A69" s="9">
        <f>Data!A56</f>
        <v>55</v>
      </c>
      <c r="B69" s="10">
        <f>Data!D56</f>
        <v>49.5</v>
      </c>
      <c r="C69" s="14">
        <f t="shared" si="3"/>
        <v>-0.50481507376786039</v>
      </c>
      <c r="D69" s="9" t="str">
        <f t="shared" si="4"/>
        <v/>
      </c>
      <c r="E69" s="9" t="str">
        <f t="shared" si="5"/>
        <v/>
      </c>
    </row>
    <row r="70" spans="1:5" x14ac:dyDescent="0.3">
      <c r="A70" s="7">
        <f>Data!A57</f>
        <v>56</v>
      </c>
      <c r="B70" s="8">
        <f>Data!D57</f>
        <v>141.6</v>
      </c>
      <c r="C70" s="13">
        <f t="shared" si="3"/>
        <v>1.1497273113861368</v>
      </c>
      <c r="D70" s="7" t="str">
        <f t="shared" si="4"/>
        <v/>
      </c>
      <c r="E70" s="7" t="str">
        <f t="shared" si="5"/>
        <v/>
      </c>
    </row>
    <row r="71" spans="1:5" x14ac:dyDescent="0.3">
      <c r="A71" s="9">
        <f>Data!A58</f>
        <v>57</v>
      </c>
      <c r="B71" s="10">
        <f>Data!D58</f>
        <v>123.1</v>
      </c>
      <c r="C71" s="14">
        <f t="shared" si="3"/>
        <v>0.81738166398821122</v>
      </c>
      <c r="D71" s="9" t="str">
        <f t="shared" si="4"/>
        <v/>
      </c>
      <c r="E71" s="9" t="str">
        <f t="shared" si="5"/>
        <v/>
      </c>
    </row>
    <row r="72" spans="1:5" x14ac:dyDescent="0.3">
      <c r="A72" s="7">
        <f>Data!A59</f>
        <v>58</v>
      </c>
      <c r="B72" s="8">
        <f>Data!D59</f>
        <v>80.400000000000006</v>
      </c>
      <c r="C72" s="13">
        <f t="shared" si="3"/>
        <v>5.0291980534620882E-2</v>
      </c>
      <c r="D72" s="7" t="str">
        <f t="shared" si="4"/>
        <v/>
      </c>
      <c r="E72" s="7" t="str">
        <f t="shared" si="5"/>
        <v/>
      </c>
    </row>
    <row r="73" spans="1:5" x14ac:dyDescent="0.3">
      <c r="A73" s="9">
        <f>Data!A60</f>
        <v>59</v>
      </c>
      <c r="B73" s="10">
        <f>Data!D60</f>
        <v>65.2</v>
      </c>
      <c r="C73" s="14">
        <f t="shared" si="3"/>
        <v>-0.2227703892193505</v>
      </c>
      <c r="D73" s="9" t="str">
        <f t="shared" si="4"/>
        <v/>
      </c>
      <c r="E73" s="9" t="str">
        <f t="shared" si="5"/>
        <v/>
      </c>
    </row>
    <row r="74" spans="1:5" x14ac:dyDescent="0.3">
      <c r="A74" s="7">
        <f>Data!A61</f>
        <v>60</v>
      </c>
      <c r="B74" s="8">
        <f>Data!D61</f>
        <v>113</v>
      </c>
      <c r="C74" s="13">
        <f t="shared" si="3"/>
        <v>0.63593890513853291</v>
      </c>
      <c r="D74" s="7" t="str">
        <f t="shared" si="4"/>
        <v/>
      </c>
      <c r="E74" s="7" t="str">
        <f t="shared" si="5"/>
        <v/>
      </c>
    </row>
    <row r="75" spans="1:5" x14ac:dyDescent="0.3">
      <c r="A75" s="9">
        <f>Data!A62</f>
        <v>61</v>
      </c>
      <c r="B75" s="10">
        <f>Data!D62</f>
        <v>108.8</v>
      </c>
      <c r="C75" s="14">
        <f t="shared" si="3"/>
        <v>0.56048746086440926</v>
      </c>
      <c r="D75" s="9" t="str">
        <f t="shared" si="4"/>
        <v/>
      </c>
      <c r="E75" s="9" t="str">
        <f t="shared" si="5"/>
        <v/>
      </c>
    </row>
    <row r="76" spans="1:5" x14ac:dyDescent="0.3">
      <c r="A76" s="7">
        <f>Data!A63</f>
        <v>62</v>
      </c>
      <c r="B76" s="8">
        <f>Data!D63</f>
        <v>59.91</v>
      </c>
      <c r="C76" s="13">
        <f t="shared" si="3"/>
        <v>-0.31780327974556827</v>
      </c>
      <c r="D76" s="7" t="str">
        <f t="shared" si="4"/>
        <v/>
      </c>
      <c r="E76" s="7" t="str">
        <f t="shared" si="5"/>
        <v/>
      </c>
    </row>
    <row r="77" spans="1:5" x14ac:dyDescent="0.3">
      <c r="A77" s="9">
        <f>Data!A64</f>
        <v>63</v>
      </c>
      <c r="B77" s="10">
        <f>Data!D64</f>
        <v>53.6</v>
      </c>
      <c r="C77" s="14">
        <f t="shared" si="3"/>
        <v>-0.43116009245264442</v>
      </c>
      <c r="D77" s="9" t="str">
        <f t="shared" si="4"/>
        <v/>
      </c>
      <c r="E77" s="9" t="str">
        <f t="shared" si="5"/>
        <v/>
      </c>
    </row>
    <row r="78" spans="1:5" x14ac:dyDescent="0.3">
      <c r="A78" s="7">
        <f>Data!A65</f>
        <v>64</v>
      </c>
      <c r="B78" s="8">
        <f>Data!D65</f>
        <v>31.6</v>
      </c>
      <c r="C78" s="13">
        <f t="shared" si="3"/>
        <v>-0.82638194341233973</v>
      </c>
      <c r="D78" s="7" t="str">
        <f t="shared" si="4"/>
        <v/>
      </c>
      <c r="E78" s="7" t="str">
        <f t="shared" si="5"/>
        <v/>
      </c>
    </row>
    <row r="79" spans="1:5" x14ac:dyDescent="0.3">
      <c r="A79" s="9">
        <f>Data!A66</f>
        <v>65</v>
      </c>
      <c r="B79" s="10">
        <f>Data!D66</f>
        <v>49.5</v>
      </c>
      <c r="C79" s="14">
        <f t="shared" ref="C79:C110" si="6">(B79-$B$3)/$B$4</f>
        <v>-0.50481507376786039</v>
      </c>
      <c r="D79" s="9" t="str">
        <f t="shared" ref="D79:D114" si="7">IF(OR(B79&lt;$B$8,B79&gt;$B$9),"Flag","")</f>
        <v/>
      </c>
      <c r="E79" s="9" t="str">
        <f t="shared" ref="E79:E114" si="8">IF(ABS(C79)&gt;3,"Flag","")</f>
        <v/>
      </c>
    </row>
    <row r="80" spans="1:5" x14ac:dyDescent="0.3">
      <c r="A80" s="7">
        <f>Data!A67</f>
        <v>66</v>
      </c>
      <c r="B80" s="8">
        <f>Data!D67</f>
        <v>39.6</v>
      </c>
      <c r="C80" s="13">
        <f t="shared" si="6"/>
        <v>-0.68266490669972324</v>
      </c>
      <c r="D80" s="7" t="str">
        <f t="shared" si="7"/>
        <v/>
      </c>
      <c r="E80" s="7" t="str">
        <f t="shared" si="8"/>
        <v/>
      </c>
    </row>
    <row r="81" spans="1:5" x14ac:dyDescent="0.3">
      <c r="A81" s="9">
        <f>Data!A68</f>
        <v>67</v>
      </c>
      <c r="B81" s="10">
        <f>Data!D68</f>
        <v>59.5</v>
      </c>
      <c r="C81" s="14">
        <f t="shared" si="6"/>
        <v>-0.32516877787708981</v>
      </c>
      <c r="D81" s="9" t="str">
        <f t="shared" si="7"/>
        <v/>
      </c>
      <c r="E81" s="9" t="str">
        <f t="shared" si="8"/>
        <v/>
      </c>
    </row>
    <row r="82" spans="1:5" x14ac:dyDescent="0.3">
      <c r="A82" s="7">
        <f>Data!A69</f>
        <v>68</v>
      </c>
      <c r="B82" s="8">
        <f>Data!D69</f>
        <v>146.80000000000001</v>
      </c>
      <c r="C82" s="13">
        <f t="shared" si="6"/>
        <v>1.2431433852493379</v>
      </c>
      <c r="D82" s="7" t="str">
        <f t="shared" si="7"/>
        <v/>
      </c>
      <c r="E82" s="7" t="str">
        <f t="shared" si="8"/>
        <v/>
      </c>
    </row>
    <row r="83" spans="1:5" x14ac:dyDescent="0.3">
      <c r="A83" s="9">
        <f>Data!A70</f>
        <v>69</v>
      </c>
      <c r="B83" s="10">
        <f>Data!D70</f>
        <v>47.2</v>
      </c>
      <c r="C83" s="14">
        <f t="shared" si="6"/>
        <v>-0.54613372182273756</v>
      </c>
      <c r="D83" s="9" t="str">
        <f t="shared" si="7"/>
        <v/>
      </c>
      <c r="E83" s="9" t="str">
        <f t="shared" si="8"/>
        <v/>
      </c>
    </row>
    <row r="84" spans="1:5" x14ac:dyDescent="0.3">
      <c r="A84" s="7">
        <f>Data!A71</f>
        <v>70</v>
      </c>
      <c r="B84" s="8">
        <f>Data!D71</f>
        <v>95.05</v>
      </c>
      <c r="C84" s="13">
        <f t="shared" si="6"/>
        <v>0.31347380401459968</v>
      </c>
      <c r="D84" s="7" t="str">
        <f t="shared" si="7"/>
        <v/>
      </c>
      <c r="E84" s="7" t="str">
        <f t="shared" si="8"/>
        <v/>
      </c>
    </row>
    <row r="85" spans="1:5" x14ac:dyDescent="0.3">
      <c r="A85" s="9">
        <f>Data!A72</f>
        <v>71</v>
      </c>
      <c r="B85" s="10">
        <f>Data!D72</f>
        <v>155.32</v>
      </c>
      <c r="C85" s="14">
        <f t="shared" si="6"/>
        <v>1.396202029348274</v>
      </c>
      <c r="D85" s="9" t="str">
        <f t="shared" si="7"/>
        <v/>
      </c>
      <c r="E85" s="9" t="str">
        <f t="shared" si="8"/>
        <v/>
      </c>
    </row>
    <row r="86" spans="1:5" x14ac:dyDescent="0.3">
      <c r="A86" s="7">
        <f>Data!A73</f>
        <v>72</v>
      </c>
      <c r="B86" s="8">
        <f>Data!D73</f>
        <v>58</v>
      </c>
      <c r="C86" s="13">
        <f t="shared" si="6"/>
        <v>-0.35211572226070537</v>
      </c>
      <c r="D86" s="7" t="str">
        <f t="shared" si="7"/>
        <v/>
      </c>
      <c r="E86" s="7" t="str">
        <f t="shared" si="8"/>
        <v/>
      </c>
    </row>
    <row r="87" spans="1:5" x14ac:dyDescent="0.3">
      <c r="A87" s="9">
        <f>Data!A74</f>
        <v>73</v>
      </c>
      <c r="B87" s="10">
        <f>Data!D74</f>
        <v>69</v>
      </c>
      <c r="C87" s="14">
        <f t="shared" si="6"/>
        <v>-0.15450479678085771</v>
      </c>
      <c r="D87" s="9" t="str">
        <f t="shared" si="7"/>
        <v/>
      </c>
      <c r="E87" s="9" t="str">
        <f t="shared" si="8"/>
        <v/>
      </c>
    </row>
    <row r="88" spans="1:5" x14ac:dyDescent="0.3">
      <c r="A88" s="7">
        <f>Data!A75</f>
        <v>74</v>
      </c>
      <c r="B88" s="8">
        <f>Data!D75</f>
        <v>46.5</v>
      </c>
      <c r="C88" s="13">
        <f t="shared" si="6"/>
        <v>-0.55870896253509161</v>
      </c>
      <c r="D88" s="7" t="str">
        <f t="shared" si="7"/>
        <v/>
      </c>
      <c r="E88" s="7" t="str">
        <f t="shared" si="8"/>
        <v/>
      </c>
    </row>
    <row r="89" spans="1:5" x14ac:dyDescent="0.3">
      <c r="A89" s="9">
        <f>Data!A76</f>
        <v>75</v>
      </c>
      <c r="B89" s="10">
        <f>Data!D76</f>
        <v>45.22</v>
      </c>
      <c r="C89" s="14">
        <f t="shared" si="6"/>
        <v>-0.58170368840911024</v>
      </c>
      <c r="D89" s="9" t="str">
        <f t="shared" si="7"/>
        <v/>
      </c>
      <c r="E89" s="9" t="str">
        <f t="shared" si="8"/>
        <v/>
      </c>
    </row>
    <row r="90" spans="1:5" x14ac:dyDescent="0.3">
      <c r="A90" s="7">
        <f>Data!A77</f>
        <v>76</v>
      </c>
      <c r="B90" s="8">
        <f>Data!D77</f>
        <v>84.74</v>
      </c>
      <c r="C90" s="13">
        <f t="shared" si="6"/>
        <v>0.12825847295121512</v>
      </c>
      <c r="D90" s="7" t="str">
        <f t="shared" si="7"/>
        <v/>
      </c>
      <c r="E90" s="7" t="str">
        <f t="shared" si="8"/>
        <v/>
      </c>
    </row>
    <row r="91" spans="1:5" x14ac:dyDescent="0.3">
      <c r="A91" s="9">
        <f>Data!A78</f>
        <v>77</v>
      </c>
      <c r="B91" s="10">
        <f>Data!D78</f>
        <v>39</v>
      </c>
      <c r="C91" s="14">
        <f t="shared" si="6"/>
        <v>-0.69344368445316951</v>
      </c>
      <c r="D91" s="9" t="str">
        <f t="shared" si="7"/>
        <v/>
      </c>
      <c r="E91" s="9" t="str">
        <f t="shared" si="8"/>
        <v/>
      </c>
    </row>
    <row r="92" spans="1:5" x14ac:dyDescent="0.3">
      <c r="A92" s="7">
        <f>Data!A79</f>
        <v>78</v>
      </c>
      <c r="B92" s="8">
        <f>Data!D79</f>
        <v>111.14</v>
      </c>
      <c r="C92" s="13">
        <f t="shared" si="6"/>
        <v>0.60252469410284959</v>
      </c>
      <c r="D92" s="7" t="str">
        <f t="shared" si="7"/>
        <v/>
      </c>
      <c r="E92" s="7" t="str">
        <f t="shared" si="8"/>
        <v/>
      </c>
    </row>
    <row r="93" spans="1:5" x14ac:dyDescent="0.3">
      <c r="A93" s="9">
        <f>Data!A80</f>
        <v>79</v>
      </c>
      <c r="B93" s="10">
        <f>Data!D80</f>
        <v>86.8</v>
      </c>
      <c r="C93" s="14">
        <f t="shared" si="6"/>
        <v>0.16526560990471392</v>
      </c>
      <c r="D93" s="9" t="str">
        <f t="shared" si="7"/>
        <v/>
      </c>
      <c r="E93" s="9" t="str">
        <f t="shared" si="8"/>
        <v/>
      </c>
    </row>
    <row r="94" spans="1:5" x14ac:dyDescent="0.3">
      <c r="A94" s="7">
        <f>Data!A81</f>
        <v>80</v>
      </c>
      <c r="B94" s="8">
        <f>Data!D81</f>
        <v>89</v>
      </c>
      <c r="C94" s="13">
        <f t="shared" si="6"/>
        <v>0.2047877950006835</v>
      </c>
      <c r="D94" s="7" t="str">
        <f t="shared" si="7"/>
        <v/>
      </c>
      <c r="E94" s="7" t="str">
        <f t="shared" si="8"/>
        <v/>
      </c>
    </row>
    <row r="95" spans="1:5" x14ac:dyDescent="0.3">
      <c r="A95" s="9">
        <f>Data!A82</f>
        <v>81</v>
      </c>
      <c r="B95" s="10">
        <f>Data!D82</f>
        <v>78</v>
      </c>
      <c r="C95" s="14">
        <f t="shared" si="6"/>
        <v>7.1768695208358343E-3</v>
      </c>
      <c r="D95" s="9" t="str">
        <f t="shared" si="7"/>
        <v/>
      </c>
      <c r="E95" s="9" t="str">
        <f t="shared" si="8"/>
        <v/>
      </c>
    </row>
    <row r="96" spans="1:5" x14ac:dyDescent="0.3">
      <c r="A96" s="7">
        <f>Data!A83</f>
        <v>82</v>
      </c>
      <c r="B96" s="8">
        <f>Data!D83</f>
        <v>53.2</v>
      </c>
      <c r="C96" s="13">
        <f t="shared" si="6"/>
        <v>-0.43834594428827522</v>
      </c>
      <c r="D96" s="7" t="str">
        <f t="shared" si="7"/>
        <v/>
      </c>
      <c r="E96" s="7" t="str">
        <f t="shared" si="8"/>
        <v/>
      </c>
    </row>
    <row r="97" spans="1:5" x14ac:dyDescent="0.3">
      <c r="A97" s="9">
        <f>Data!A84</f>
        <v>83</v>
      </c>
      <c r="B97" s="10">
        <f>Data!D84</f>
        <v>58.5</v>
      </c>
      <c r="C97" s="14">
        <f t="shared" si="6"/>
        <v>-0.34313340746616683</v>
      </c>
      <c r="D97" s="9" t="str">
        <f t="shared" si="7"/>
        <v/>
      </c>
      <c r="E97" s="9" t="str">
        <f t="shared" si="8"/>
        <v/>
      </c>
    </row>
    <row r="98" spans="1:5" x14ac:dyDescent="0.3">
      <c r="A98" s="7">
        <f>Data!A85</f>
        <v>84</v>
      </c>
      <c r="B98" s="8">
        <f>Data!D85</f>
        <v>46</v>
      </c>
      <c r="C98" s="13">
        <f t="shared" si="6"/>
        <v>-0.5676912773296301</v>
      </c>
      <c r="D98" s="7" t="str">
        <f t="shared" si="7"/>
        <v/>
      </c>
      <c r="E98" s="7" t="str">
        <f t="shared" si="8"/>
        <v/>
      </c>
    </row>
    <row r="99" spans="1:5" x14ac:dyDescent="0.3">
      <c r="A99" s="9">
        <f>Data!A86</f>
        <v>85</v>
      </c>
      <c r="B99" s="10">
        <f>Data!D86</f>
        <v>37.5</v>
      </c>
      <c r="C99" s="14">
        <f t="shared" si="6"/>
        <v>-0.72039062883678517</v>
      </c>
      <c r="D99" s="9" t="str">
        <f t="shared" si="7"/>
        <v/>
      </c>
      <c r="E99" s="9" t="str">
        <f t="shared" si="8"/>
        <v/>
      </c>
    </row>
    <row r="100" spans="1:5" x14ac:dyDescent="0.3">
      <c r="A100" s="7">
        <f>Data!A87</f>
        <v>86</v>
      </c>
      <c r="B100" s="8">
        <f>Data!D87</f>
        <v>20.8</v>
      </c>
      <c r="C100" s="13">
        <f t="shared" si="6"/>
        <v>-1.0203999429743722</v>
      </c>
      <c r="D100" s="7" t="str">
        <f t="shared" si="7"/>
        <v/>
      </c>
      <c r="E100" s="7" t="str">
        <f t="shared" si="8"/>
        <v/>
      </c>
    </row>
    <row r="101" spans="1:5" x14ac:dyDescent="0.3">
      <c r="A101" s="9">
        <f>Data!A88</f>
        <v>87</v>
      </c>
      <c r="B101" s="10">
        <f>Data!D88</f>
        <v>144</v>
      </c>
      <c r="C101" s="14">
        <f t="shared" si="6"/>
        <v>1.1928424223999219</v>
      </c>
      <c r="D101" s="9" t="str">
        <f t="shared" si="7"/>
        <v/>
      </c>
      <c r="E101" s="9" t="str">
        <f t="shared" si="8"/>
        <v/>
      </c>
    </row>
    <row r="102" spans="1:5" x14ac:dyDescent="0.3">
      <c r="A102" s="7">
        <f>Data!A89</f>
        <v>88</v>
      </c>
      <c r="B102" s="8">
        <f>Data!D89</f>
        <v>107</v>
      </c>
      <c r="C102" s="13">
        <f t="shared" si="6"/>
        <v>0.52815112760407057</v>
      </c>
      <c r="D102" s="7" t="str">
        <f t="shared" si="7"/>
        <v/>
      </c>
      <c r="E102" s="7" t="str">
        <f t="shared" si="8"/>
        <v/>
      </c>
    </row>
    <row r="103" spans="1:5" x14ac:dyDescent="0.3">
      <c r="A103" s="9">
        <f>Data!A90</f>
        <v>89</v>
      </c>
      <c r="B103" s="10">
        <f>Data!D90</f>
        <v>31.6</v>
      </c>
      <c r="C103" s="14">
        <f t="shared" si="6"/>
        <v>-0.82638194341233973</v>
      </c>
      <c r="D103" s="9" t="str">
        <f t="shared" si="7"/>
        <v/>
      </c>
      <c r="E103" s="9" t="str">
        <f t="shared" si="8"/>
        <v/>
      </c>
    </row>
    <row r="104" spans="1:5" x14ac:dyDescent="0.3">
      <c r="A104" s="7">
        <f>Data!A91</f>
        <v>90</v>
      </c>
      <c r="B104" s="8">
        <f>Data!D91</f>
        <v>57.6</v>
      </c>
      <c r="C104" s="13">
        <f t="shared" si="6"/>
        <v>-0.35930157409633617</v>
      </c>
      <c r="D104" s="7" t="str">
        <f t="shared" si="7"/>
        <v/>
      </c>
      <c r="E104" s="7" t="str">
        <f t="shared" si="8"/>
        <v/>
      </c>
    </row>
    <row r="105" spans="1:5" x14ac:dyDescent="0.3">
      <c r="A105" s="9">
        <f>Data!A92</f>
        <v>91</v>
      </c>
      <c r="B105" s="10">
        <f>Data!D92</f>
        <v>95.2</v>
      </c>
      <c r="C105" s="14">
        <f t="shared" si="6"/>
        <v>0.31616849845296136</v>
      </c>
      <c r="D105" s="9" t="str">
        <f t="shared" si="7"/>
        <v/>
      </c>
      <c r="E105" s="9" t="str">
        <f t="shared" si="8"/>
        <v/>
      </c>
    </row>
    <row r="106" spans="1:5" x14ac:dyDescent="0.3">
      <c r="A106" s="7">
        <f>Data!A93</f>
        <v>92</v>
      </c>
      <c r="B106" s="8">
        <f>Data!D93</f>
        <v>22.42</v>
      </c>
      <c r="C106" s="13">
        <f t="shared" si="6"/>
        <v>-0.99129724304006717</v>
      </c>
      <c r="D106" s="7" t="str">
        <f t="shared" si="7"/>
        <v/>
      </c>
      <c r="E106" s="7" t="str">
        <f t="shared" si="8"/>
        <v/>
      </c>
    </row>
    <row r="107" spans="1:5" x14ac:dyDescent="0.3">
      <c r="A107" s="9">
        <f>Data!A94</f>
        <v>93</v>
      </c>
      <c r="B107" s="10">
        <f>Data!D94</f>
        <v>159.75</v>
      </c>
      <c r="C107" s="14">
        <f t="shared" si="6"/>
        <v>1.4757853384278856</v>
      </c>
      <c r="D107" s="9" t="str">
        <f t="shared" si="7"/>
        <v/>
      </c>
      <c r="E107" s="9" t="str">
        <f t="shared" si="8"/>
        <v/>
      </c>
    </row>
    <row r="108" spans="1:5" x14ac:dyDescent="0.3">
      <c r="A108" s="7">
        <f>Data!A95</f>
        <v>94</v>
      </c>
      <c r="B108" s="8">
        <f>Data!D95</f>
        <v>229.5</v>
      </c>
      <c r="C108" s="13">
        <f t="shared" si="6"/>
        <v>2.7288182522660107</v>
      </c>
      <c r="D108" s="7" t="str">
        <f t="shared" si="7"/>
        <v>Flag</v>
      </c>
      <c r="E108" s="7" t="str">
        <f t="shared" si="8"/>
        <v/>
      </c>
    </row>
    <row r="109" spans="1:5" x14ac:dyDescent="0.3">
      <c r="A109" s="9">
        <f>Data!A96</f>
        <v>95</v>
      </c>
      <c r="B109" s="10">
        <f>Data!D96</f>
        <v>66</v>
      </c>
      <c r="C109" s="14">
        <f t="shared" si="6"/>
        <v>-0.20839868554808891</v>
      </c>
      <c r="D109" s="9" t="str">
        <f t="shared" si="7"/>
        <v/>
      </c>
      <c r="E109" s="9" t="str">
        <f t="shared" si="8"/>
        <v/>
      </c>
    </row>
    <row r="110" spans="1:5" x14ac:dyDescent="0.3">
      <c r="A110" s="7">
        <f>Data!A97</f>
        <v>96</v>
      </c>
      <c r="B110" s="8">
        <f>Data!D97</f>
        <v>39.5</v>
      </c>
      <c r="C110" s="13">
        <f t="shared" si="6"/>
        <v>-0.68446136965863102</v>
      </c>
      <c r="D110" s="7" t="str">
        <f t="shared" si="7"/>
        <v/>
      </c>
      <c r="E110" s="7" t="str">
        <f t="shared" si="8"/>
        <v/>
      </c>
    </row>
    <row r="111" spans="1:5" x14ac:dyDescent="0.3">
      <c r="A111" s="16">
        <f>Data!A98</f>
        <v>97</v>
      </c>
      <c r="B111" s="17">
        <f>Data!D98</f>
        <v>253</v>
      </c>
      <c r="C111" s="18">
        <f t="shared" ref="C111:C142" si="9">(B111-$B$3)/$B$4</f>
        <v>3.1509870476093216</v>
      </c>
      <c r="D111" s="16" t="str">
        <f t="shared" si="7"/>
        <v>Flag</v>
      </c>
      <c r="E111" s="16" t="str">
        <f t="shared" si="8"/>
        <v>Flag</v>
      </c>
    </row>
    <row r="112" spans="1:5" x14ac:dyDescent="0.3">
      <c r="A112" s="7">
        <f>Data!A99</f>
        <v>98</v>
      </c>
      <c r="B112" s="8">
        <f>Data!D99</f>
        <v>287.58999999999997</v>
      </c>
      <c r="C112" s="13">
        <f t="shared" si="9"/>
        <v>3.772383585095497</v>
      </c>
      <c r="D112" s="7" t="str">
        <f t="shared" si="7"/>
        <v>Flag</v>
      </c>
      <c r="E112" s="7" t="str">
        <f t="shared" si="8"/>
        <v>Flag</v>
      </c>
    </row>
    <row r="113" spans="1:8" x14ac:dyDescent="0.3">
      <c r="A113" s="9">
        <f>Data!A100</f>
        <v>99</v>
      </c>
      <c r="B113" s="10">
        <f>Data!D100</f>
        <v>47.6</v>
      </c>
      <c r="C113" s="14">
        <f t="shared" si="9"/>
        <v>-0.53894786998710675</v>
      </c>
      <c r="D113" s="9" t="str">
        <f t="shared" si="7"/>
        <v/>
      </c>
      <c r="E113" s="9" t="str">
        <f t="shared" si="8"/>
        <v/>
      </c>
    </row>
    <row r="114" spans="1:8" x14ac:dyDescent="0.3">
      <c r="A114" s="7">
        <f>Data!A101</f>
        <v>100</v>
      </c>
      <c r="B114" s="8">
        <f>Data!D101</f>
        <v>28.44</v>
      </c>
      <c r="C114" s="13">
        <f t="shared" si="9"/>
        <v>-0.88315017291382336</v>
      </c>
      <c r="D114" s="7" t="str">
        <f t="shared" si="7"/>
        <v/>
      </c>
      <c r="E114" s="7" t="str">
        <f t="shared" si="8"/>
        <v/>
      </c>
    </row>
    <row r="117" spans="1:8" ht="22.05" customHeight="1" x14ac:dyDescent="0.3">
      <c r="A117" s="26" t="s">
        <v>28</v>
      </c>
      <c r="B117" s="25"/>
      <c r="C117" s="25"/>
      <c r="D117" s="25"/>
      <c r="E117" s="25"/>
      <c r="F117" s="25"/>
      <c r="G117" s="25"/>
      <c r="H117" s="25"/>
    </row>
    <row r="118" spans="1:8" ht="22.95" customHeight="1" x14ac:dyDescent="0.3">
      <c r="A118" s="23" t="s">
        <v>72</v>
      </c>
      <c r="B118" s="21"/>
      <c r="C118" s="21"/>
      <c r="D118" s="21"/>
      <c r="E118" s="21"/>
      <c r="F118" s="21"/>
      <c r="G118" s="21"/>
      <c r="H118" s="22"/>
    </row>
    <row r="119" spans="1:8" ht="31.05" customHeight="1" x14ac:dyDescent="0.3">
      <c r="A119" s="20" t="s">
        <v>73</v>
      </c>
      <c r="B119" s="21"/>
      <c r="C119" s="21"/>
      <c r="D119" s="21"/>
      <c r="E119" s="21"/>
      <c r="F119" s="21"/>
      <c r="G119" s="21"/>
      <c r="H119" s="22"/>
    </row>
    <row r="120" spans="1:8" ht="22.95" customHeight="1" x14ac:dyDescent="0.3">
      <c r="A120" s="23" t="s">
        <v>74</v>
      </c>
      <c r="B120" s="21"/>
      <c r="C120" s="21"/>
      <c r="D120" s="21"/>
      <c r="E120" s="21"/>
      <c r="F120" s="21"/>
      <c r="G120" s="21"/>
      <c r="H120" s="22"/>
    </row>
    <row r="121" spans="1:8" ht="22.95" customHeight="1" x14ac:dyDescent="0.3">
      <c r="A121" s="20" t="s">
        <v>75</v>
      </c>
      <c r="B121" s="21"/>
      <c r="C121" s="21"/>
      <c r="D121" s="21"/>
      <c r="E121" s="21"/>
      <c r="F121" s="21"/>
      <c r="G121" s="21"/>
      <c r="H121" s="22"/>
    </row>
    <row r="122" spans="1:8" ht="22.95" customHeight="1" x14ac:dyDescent="0.3">
      <c r="A122" s="23" t="s">
        <v>76</v>
      </c>
      <c r="B122" s="21"/>
      <c r="C122" s="21"/>
      <c r="D122" s="21"/>
      <c r="E122" s="21"/>
      <c r="F122" s="21"/>
      <c r="G122" s="21"/>
      <c r="H122" s="22"/>
    </row>
    <row r="123" spans="1:8" ht="31.05" customHeight="1" x14ac:dyDescent="0.3">
      <c r="A123" s="20" t="s">
        <v>77</v>
      </c>
      <c r="B123" s="21"/>
      <c r="C123" s="21"/>
      <c r="D123" s="21"/>
      <c r="E123" s="21"/>
      <c r="F123" s="21"/>
      <c r="G123" s="21"/>
      <c r="H123" s="22"/>
    </row>
  </sheetData>
  <mergeCells count="8">
    <mergeCell ref="A117:H117"/>
    <mergeCell ref="A118:H118"/>
    <mergeCell ref="A1:H1"/>
    <mergeCell ref="A123:H123"/>
    <mergeCell ref="A120:H120"/>
    <mergeCell ref="A119:H119"/>
    <mergeCell ref="A122:H122"/>
    <mergeCell ref="A121:H1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9E89"/>
  </sheetPr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defaultRowHeight="15.6" x14ac:dyDescent="0.3"/>
  <cols>
    <col min="1" max="5" width="18" customWidth="1"/>
    <col min="6" max="8" width="3" customWidth="1"/>
  </cols>
  <sheetData>
    <row r="1" spans="1:8" ht="30" customHeight="1" x14ac:dyDescent="0.3">
      <c r="A1" s="24" t="s">
        <v>78</v>
      </c>
      <c r="B1" s="25"/>
      <c r="C1" s="25"/>
      <c r="D1" s="25"/>
      <c r="E1" s="25"/>
      <c r="F1" s="25"/>
      <c r="G1" s="25"/>
      <c r="H1" s="25"/>
    </row>
    <row r="3" spans="1:8" x14ac:dyDescent="0.3">
      <c r="A3" s="6" t="s">
        <v>79</v>
      </c>
      <c r="B3" s="6" t="s">
        <v>63</v>
      </c>
      <c r="C3" s="6" t="s">
        <v>23</v>
      </c>
      <c r="D3" s="6" t="s">
        <v>64</v>
      </c>
      <c r="E3" s="6" t="s">
        <v>80</v>
      </c>
    </row>
    <row r="4" spans="1:8" x14ac:dyDescent="0.3">
      <c r="A4" s="8">
        <f>MIN(Data!$D$2:$D$101)</f>
        <v>13.23</v>
      </c>
      <c r="B4" s="8">
        <f>_xlfn.PERCENTILE.EXC(Data!$D$2:$D$101,0.25)</f>
        <v>39.6</v>
      </c>
      <c r="C4" s="8">
        <f>MEDIAN(Data!$D$2:$D$101)</f>
        <v>59.704999999999998</v>
      </c>
      <c r="D4" s="8">
        <f>_xlfn.PERCENTILE.EXC(Data!$D$2:$D$101,0.75)</f>
        <v>101.9</v>
      </c>
      <c r="E4" s="8">
        <f>MAX(Data!$D$2:$D$101)</f>
        <v>287.58999999999997</v>
      </c>
    </row>
    <row r="7" spans="1:8" x14ac:dyDescent="0.3">
      <c r="A7" s="15" t="s">
        <v>37</v>
      </c>
      <c r="B7" s="10">
        <f>D4-B4</f>
        <v>62.300000000000004</v>
      </c>
    </row>
    <row r="10" spans="1:8" ht="22.05" customHeight="1" x14ac:dyDescent="0.3">
      <c r="A10" s="26" t="s">
        <v>28</v>
      </c>
      <c r="B10" s="25"/>
      <c r="C10" s="25"/>
      <c r="D10" s="25"/>
      <c r="E10" s="25"/>
      <c r="F10" s="25"/>
      <c r="G10" s="25"/>
      <c r="H10" s="25"/>
    </row>
    <row r="11" spans="1:8" ht="22.95" customHeight="1" x14ac:dyDescent="0.3">
      <c r="A11" s="23" t="s">
        <v>29</v>
      </c>
      <c r="B11" s="21"/>
      <c r="C11" s="21"/>
      <c r="D11" s="21"/>
      <c r="E11" s="21"/>
      <c r="F11" s="21"/>
      <c r="G11" s="21"/>
      <c r="H11" s="22"/>
    </row>
    <row r="12" spans="1:8" ht="22.95" customHeight="1" x14ac:dyDescent="0.3">
      <c r="A12" s="20" t="s">
        <v>81</v>
      </c>
      <c r="B12" s="21"/>
      <c r="C12" s="21"/>
      <c r="D12" s="21"/>
      <c r="E12" s="21"/>
      <c r="F12" s="21"/>
      <c r="G12" s="21"/>
      <c r="H12" s="22"/>
    </row>
    <row r="13" spans="1:8" ht="22.95" customHeight="1" x14ac:dyDescent="0.3">
      <c r="A13" s="23" t="s">
        <v>82</v>
      </c>
      <c r="B13" s="21"/>
      <c r="C13" s="21"/>
      <c r="D13" s="21"/>
      <c r="E13" s="21"/>
      <c r="F13" s="21"/>
      <c r="G13" s="21"/>
      <c r="H13" s="22"/>
    </row>
    <row r="14" spans="1:8" ht="31.05" customHeight="1" x14ac:dyDescent="0.3">
      <c r="A14" s="20" t="s">
        <v>83</v>
      </c>
      <c r="B14" s="21"/>
      <c r="C14" s="21"/>
      <c r="D14" s="21"/>
      <c r="E14" s="21"/>
      <c r="F14" s="21"/>
      <c r="G14" s="21"/>
      <c r="H14" s="22"/>
    </row>
  </sheetData>
  <mergeCells count="6">
    <mergeCell ref="A14:H14"/>
    <mergeCell ref="A1:H1"/>
    <mergeCell ref="A12:H12"/>
    <mergeCell ref="A10:H10"/>
    <mergeCell ref="A13:H13"/>
    <mergeCell ref="A11:H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9E89"/>
    <pageSetUpPr fitToPage="1"/>
  </sheetPr>
  <dimension ref="A1:M142"/>
  <sheetViews>
    <sheetView showGridLines="0" workbookViewId="0">
      <pane ySplit="8" topLeftCell="A83" activePane="bottomLeft" state="frozen"/>
      <selection pane="bottomLeft" sqref="A1:J1"/>
    </sheetView>
  </sheetViews>
  <sheetFormatPr defaultRowHeight="15.6" x14ac:dyDescent="0.3"/>
  <cols>
    <col min="1" max="1" width="20" customWidth="1"/>
    <col min="2" max="2" width="17" customWidth="1"/>
    <col min="3" max="6" width="15" customWidth="1"/>
    <col min="7" max="9" width="14" customWidth="1"/>
    <col min="10" max="13" width="13" hidden="1" customWidth="1"/>
  </cols>
  <sheetData>
    <row r="1" spans="1:13" ht="30" customHeight="1" x14ac:dyDescent="0.3">
      <c r="A1" s="24" t="s">
        <v>84</v>
      </c>
      <c r="B1" s="25"/>
      <c r="C1" s="25"/>
      <c r="D1" s="25"/>
      <c r="E1" s="25"/>
      <c r="F1" s="25"/>
      <c r="G1" s="25"/>
      <c r="H1" s="25"/>
      <c r="I1" s="25"/>
      <c r="J1" s="25"/>
    </row>
    <row r="3" spans="1:13" x14ac:dyDescent="0.3">
      <c r="A3" s="6" t="s">
        <v>85</v>
      </c>
      <c r="B3" s="6" t="s">
        <v>86</v>
      </c>
      <c r="C3" s="6" t="s">
        <v>63</v>
      </c>
      <c r="D3" s="6" t="s">
        <v>23</v>
      </c>
      <c r="E3" s="6" t="s">
        <v>64</v>
      </c>
      <c r="F3" s="6" t="s">
        <v>87</v>
      </c>
      <c r="J3" t="s">
        <v>65</v>
      </c>
      <c r="K3" t="s">
        <v>66</v>
      </c>
      <c r="L3" t="s">
        <v>88</v>
      </c>
      <c r="M3" t="s">
        <v>89</v>
      </c>
    </row>
    <row r="4" spans="1:13" x14ac:dyDescent="0.3">
      <c r="A4" s="7" t="s">
        <v>8</v>
      </c>
      <c r="B4" s="7">
        <f>COUNT(A10:A109)</f>
        <v>30</v>
      </c>
      <c r="C4" s="8">
        <f>_xlfn.PERCENTILE.EXC(A10:A109,0.25)</f>
        <v>39.375</v>
      </c>
      <c r="D4" s="8">
        <f>MEDIAN(A10:A109)</f>
        <v>51</v>
      </c>
      <c r="E4" s="8">
        <f>_xlfn.PERCENTILE.EXC(A10:A109,0.75)</f>
        <v>74.25</v>
      </c>
      <c r="F4" s="7">
        <f>COUNTIF(A10:A109,"&lt;"&amp;J4)+COUNTIF(A10:A109,"&gt;"&amp;K4)</f>
        <v>2</v>
      </c>
      <c r="J4">
        <f>C4-1.5*(E4-C4)</f>
        <v>-12.9375</v>
      </c>
      <c r="K4">
        <f>E4+1.5*(E4-C4)</f>
        <v>126.5625</v>
      </c>
      <c r="L4">
        <f>_xlfn.AGGREGATE(15,6,A10:A109/(ISNUMBER(A10:A109))/(A10:A109&gt;=J4)/(A10:A109&lt;=K4),1)</f>
        <v>22.5</v>
      </c>
      <c r="M4">
        <f>_xlfn.AGGREGATE(14,6,A10:A109/(ISNUMBER(A10:A109))/(A10:A109&gt;=J4)/(A10:A109&lt;=K4),1)</f>
        <v>123.5</v>
      </c>
    </row>
    <row r="5" spans="1:13" x14ac:dyDescent="0.3">
      <c r="A5" s="9" t="s">
        <v>12</v>
      </c>
      <c r="B5" s="9">
        <f>COUNT(B10:B109)</f>
        <v>70</v>
      </c>
      <c r="C5" s="10">
        <f>_xlfn.PERCENTILE.EXC(B10:B109,0.25)</f>
        <v>43.5</v>
      </c>
      <c r="D5" s="10">
        <f>MEDIAN(B10:B109)</f>
        <v>63.42</v>
      </c>
      <c r="E5" s="10">
        <f>_xlfn.PERCENTILE.EXC(B10:B109,0.75)</f>
        <v>109.38499999999999</v>
      </c>
      <c r="F5" s="9">
        <f>COUNTIF(B10:B109,"&lt;"&amp;J5)+COUNTIF(B10:B109,"&gt;"&amp;K5)</f>
        <v>4</v>
      </c>
      <c r="J5">
        <f>C5-1.5*(E5-C5)</f>
        <v>-55.327499999999986</v>
      </c>
      <c r="K5">
        <f>E5+1.5*(E5-C5)</f>
        <v>208.21249999999998</v>
      </c>
      <c r="L5">
        <f>_xlfn.AGGREGATE(15,6,B10:B109/(ISNUMBER(B10:B109))/(B10:B109&gt;=J5)/(B10:B109&lt;=K5),1)</f>
        <v>13.23</v>
      </c>
      <c r="M5">
        <f>_xlfn.AGGREGATE(14,6,B10:B109/(ISNUMBER(B10:B109))/(B10:B109&gt;=J5)/(B10:B109&lt;=K5),1)</f>
        <v>198.8</v>
      </c>
    </row>
    <row r="9" spans="1:13" x14ac:dyDescent="0.3">
      <c r="A9" s="6" t="s">
        <v>8</v>
      </c>
      <c r="B9" s="6" t="s">
        <v>12</v>
      </c>
      <c r="J9" t="s">
        <v>90</v>
      </c>
      <c r="K9" t="s">
        <v>91</v>
      </c>
      <c r="L9" t="s">
        <v>92</v>
      </c>
      <c r="M9" t="s">
        <v>93</v>
      </c>
    </row>
    <row r="10" spans="1:13" x14ac:dyDescent="0.3">
      <c r="A10" s="11">
        <f>IFERROR(INDEX(Data!$D$2:$D$101,_xlfn.AGGREGATE(15,6,(ROW(Data!$B$2:$B$101)-ROW(Data!$B$2)+1)/(Data!$B$2:$B$101=A$9),ROWS(A$10:A10))),"")</f>
        <v>39.5</v>
      </c>
      <c r="B10" s="11">
        <f>IFERROR(INDEX(Data!$D$2:$D$101,_xlfn.AGGREGATE(15,6,(ROW(Data!$B$2:$B$101)-ROW(Data!$B$2)+1)/(Data!$B$2:$B$101=B$9),ROWS(B$10:B10))),"")</f>
        <v>102.4</v>
      </c>
      <c r="J10">
        <f>$L$4</f>
        <v>22.5</v>
      </c>
      <c r="K10">
        <v>0.9</v>
      </c>
      <c r="L10">
        <f>$L$5</f>
        <v>13.23</v>
      </c>
      <c r="M10">
        <v>1.9</v>
      </c>
    </row>
    <row r="11" spans="1:13" x14ac:dyDescent="0.3">
      <c r="A11" s="12">
        <f>IFERROR(INDEX(Data!$D$2:$D$101,_xlfn.AGGREGATE(15,6,(ROW(Data!$B$2:$B$101)-ROW(Data!$B$2)+1)/(Data!$B$2:$B$101=A$9),ROWS(A$10:A11))),"")</f>
        <v>22.5</v>
      </c>
      <c r="B11" s="12">
        <f>IFERROR(INDEX(Data!$D$2:$D$101,_xlfn.AGGREGATE(15,6,(ROW(Data!$B$2:$B$101)-ROW(Data!$B$2)+1)/(Data!$B$2:$B$101=B$9),ROWS(B$10:B11))),"")</f>
        <v>100.4</v>
      </c>
      <c r="J11">
        <f>$L$4</f>
        <v>22.5</v>
      </c>
      <c r="K11">
        <v>1.1000000000000001</v>
      </c>
      <c r="L11">
        <f>$L$5</f>
        <v>13.23</v>
      </c>
      <c r="M11">
        <v>2.1</v>
      </c>
    </row>
    <row r="12" spans="1:13" x14ac:dyDescent="0.3">
      <c r="A12" s="11">
        <f>IFERROR(INDEX(Data!$D$2:$D$101,_xlfn.AGGREGATE(15,6,(ROW(Data!$B$2:$B$101)-ROW(Data!$B$2)+1)/(Data!$B$2:$B$101=A$9),ROWS(A$10:A12))),"")</f>
        <v>54</v>
      </c>
      <c r="B12" s="11">
        <f>IFERROR(INDEX(Data!$D$2:$D$101,_xlfn.AGGREGATE(15,6,(ROW(Data!$B$2:$B$101)-ROW(Data!$B$2)+1)/(Data!$B$2:$B$101=B$9),ROWS(B$10:B12))),"")</f>
        <v>78</v>
      </c>
      <c r="J12">
        <f>$L$4</f>
        <v>22.5</v>
      </c>
      <c r="K12">
        <v>1</v>
      </c>
      <c r="L12">
        <f>$L$5</f>
        <v>13.23</v>
      </c>
      <c r="M12">
        <v>2</v>
      </c>
    </row>
    <row r="13" spans="1:13" x14ac:dyDescent="0.3">
      <c r="A13" s="12">
        <f>IFERROR(INDEX(Data!$D$2:$D$101,_xlfn.AGGREGATE(15,6,(ROW(Data!$B$2:$B$101)-ROW(Data!$B$2)+1)/(Data!$B$2:$B$101=A$9),ROWS(A$10:A13))),"")</f>
        <v>44.5</v>
      </c>
      <c r="B13" s="12">
        <f>IFERROR(INDEX(Data!$D$2:$D$101,_xlfn.AGGREGATE(15,6,(ROW(Data!$B$2:$B$101)-ROW(Data!$B$2)+1)/(Data!$B$2:$B$101=B$9),ROWS(B$10:B13))),"")</f>
        <v>56.52</v>
      </c>
      <c r="J13" s="19">
        <f>$C$4</f>
        <v>39.375</v>
      </c>
      <c r="K13">
        <v>1</v>
      </c>
      <c r="L13" s="19">
        <f>$C$5</f>
        <v>43.5</v>
      </c>
      <c r="M13">
        <v>2</v>
      </c>
    </row>
    <row r="14" spans="1:13" x14ac:dyDescent="0.3">
      <c r="A14" s="11">
        <f>IFERROR(INDEX(Data!$D$2:$D$101,_xlfn.AGGREGATE(15,6,(ROW(Data!$B$2:$B$101)-ROW(Data!$B$2)+1)/(Data!$B$2:$B$101=A$9),ROWS(A$10:A14))),"")</f>
        <v>22.5</v>
      </c>
      <c r="B14" s="11">
        <f>IFERROR(INDEX(Data!$D$2:$D$101,_xlfn.AGGREGATE(15,6,(ROW(Data!$B$2:$B$101)-ROW(Data!$B$2)+1)/(Data!$B$2:$B$101=B$9),ROWS(B$10:B14))),"")</f>
        <v>31.6</v>
      </c>
      <c r="J14" s="19">
        <f>$C$4</f>
        <v>39.375</v>
      </c>
      <c r="K14">
        <v>0.8</v>
      </c>
      <c r="L14" s="19">
        <f>$C$5</f>
        <v>43.5</v>
      </c>
      <c r="M14">
        <v>1.8</v>
      </c>
    </row>
    <row r="15" spans="1:13" x14ac:dyDescent="0.3">
      <c r="A15" s="12">
        <f>IFERROR(INDEX(Data!$D$2:$D$101,_xlfn.AGGREGATE(15,6,(ROW(Data!$B$2:$B$101)-ROW(Data!$B$2)+1)/(Data!$B$2:$B$101=A$9),ROWS(A$10:A15))),"")</f>
        <v>44.5</v>
      </c>
      <c r="B15" s="12">
        <f>IFERROR(INDEX(Data!$D$2:$D$101,_xlfn.AGGREGATE(15,6,(ROW(Data!$B$2:$B$101)-ROW(Data!$B$2)+1)/(Data!$B$2:$B$101=B$9),ROWS(B$10:B15))),"")</f>
        <v>160.4</v>
      </c>
      <c r="J15" s="19">
        <f>$E$4</f>
        <v>74.25</v>
      </c>
      <c r="K15">
        <v>0.8</v>
      </c>
      <c r="L15" s="19">
        <f>$E$5</f>
        <v>109.38499999999999</v>
      </c>
      <c r="M15">
        <v>1.8</v>
      </c>
    </row>
    <row r="16" spans="1:13" x14ac:dyDescent="0.3">
      <c r="A16" s="11">
        <f>IFERROR(INDEX(Data!$D$2:$D$101,_xlfn.AGGREGATE(15,6,(ROW(Data!$B$2:$B$101)-ROW(Data!$B$2)+1)/(Data!$B$2:$B$101=A$9),ROWS(A$10:A16))),"")</f>
        <v>29.5</v>
      </c>
      <c r="B16" s="11">
        <f>IFERROR(INDEX(Data!$D$2:$D$101,_xlfn.AGGREGATE(15,6,(ROW(Data!$B$2:$B$101)-ROW(Data!$B$2)+1)/(Data!$B$2:$B$101=B$9),ROWS(B$10:B16))),"")</f>
        <v>64.5</v>
      </c>
      <c r="J16" s="19">
        <f>$E$4</f>
        <v>74.25</v>
      </c>
      <c r="K16">
        <v>1</v>
      </c>
      <c r="L16" s="19">
        <f>$E$5</f>
        <v>109.38499999999999</v>
      </c>
      <c r="M16">
        <v>2</v>
      </c>
    </row>
    <row r="17" spans="1:13" x14ac:dyDescent="0.3">
      <c r="A17" s="12">
        <f>IFERROR(INDEX(Data!$D$2:$D$101,_xlfn.AGGREGATE(15,6,(ROW(Data!$B$2:$B$101)-ROW(Data!$B$2)+1)/(Data!$B$2:$B$101=A$9),ROWS(A$10:A17))),"")</f>
        <v>49.5</v>
      </c>
      <c r="B17" s="12">
        <f>IFERROR(INDEX(Data!$D$2:$D$101,_xlfn.AGGREGATE(15,6,(ROW(Data!$B$2:$B$101)-ROW(Data!$B$2)+1)/(Data!$B$2:$B$101=B$9),ROWS(B$10:B17))),"")</f>
        <v>71.400000000000006</v>
      </c>
      <c r="J17">
        <f>$M$4</f>
        <v>123.5</v>
      </c>
      <c r="K17">
        <v>1</v>
      </c>
      <c r="L17">
        <f>$M$5</f>
        <v>198.8</v>
      </c>
      <c r="M17">
        <v>2</v>
      </c>
    </row>
    <row r="18" spans="1:13" x14ac:dyDescent="0.3">
      <c r="A18" s="11">
        <f>IFERROR(INDEX(Data!$D$2:$D$101,_xlfn.AGGREGATE(15,6,(ROW(Data!$B$2:$B$101)-ROW(Data!$B$2)+1)/(Data!$B$2:$B$101=A$9),ROWS(A$10:A18))),"")</f>
        <v>54.5</v>
      </c>
      <c r="B18" s="11">
        <f>IFERROR(INDEX(Data!$D$2:$D$101,_xlfn.AGGREGATE(15,6,(ROW(Data!$B$2:$B$101)-ROW(Data!$B$2)+1)/(Data!$B$2:$B$101=B$9),ROWS(B$10:B18))),"")</f>
        <v>94</v>
      </c>
      <c r="J18">
        <f>$M$4</f>
        <v>123.5</v>
      </c>
      <c r="K18">
        <v>0.9</v>
      </c>
      <c r="L18">
        <f>$M$5</f>
        <v>198.8</v>
      </c>
      <c r="M18">
        <v>1.9</v>
      </c>
    </row>
    <row r="19" spans="1:13" x14ac:dyDescent="0.3">
      <c r="A19" s="12">
        <f>IFERROR(INDEX(Data!$D$2:$D$101,_xlfn.AGGREGATE(15,6,(ROW(Data!$B$2:$B$101)-ROW(Data!$B$2)+1)/(Data!$B$2:$B$101=A$9),ROWS(A$10:A19))),"")</f>
        <v>74</v>
      </c>
      <c r="B19" s="12">
        <f>IFERROR(INDEX(Data!$D$2:$D$101,_xlfn.AGGREGATE(15,6,(ROW(Data!$B$2:$B$101)-ROW(Data!$B$2)+1)/(Data!$B$2:$B$101=B$9),ROWS(B$10:B19))),"")</f>
        <v>38.5</v>
      </c>
      <c r="J19">
        <f>$M$4</f>
        <v>123.5</v>
      </c>
      <c r="K19">
        <v>1.1000000000000001</v>
      </c>
      <c r="L19">
        <f>$M$5</f>
        <v>198.8</v>
      </c>
      <c r="M19">
        <v>2.1</v>
      </c>
    </row>
    <row r="20" spans="1:13" x14ac:dyDescent="0.3">
      <c r="A20" s="11">
        <f>IFERROR(INDEX(Data!$D$2:$D$101,_xlfn.AGGREGATE(15,6,(ROW(Data!$B$2:$B$101)-ROW(Data!$B$2)+1)/(Data!$B$2:$B$101=A$9),ROWS(A$10:A20))),"")</f>
        <v>44.5</v>
      </c>
      <c r="B20" s="11">
        <f>IFERROR(INDEX(Data!$D$2:$D$101,_xlfn.AGGREGATE(15,6,(ROW(Data!$B$2:$B$101)-ROW(Data!$B$2)+1)/(Data!$B$2:$B$101=B$9),ROWS(B$10:B20))),"")</f>
        <v>44.8</v>
      </c>
      <c r="J20">
        <f>$M$4</f>
        <v>123.5</v>
      </c>
      <c r="K20">
        <v>1</v>
      </c>
      <c r="L20">
        <f>$M$5</f>
        <v>198.8</v>
      </c>
      <c r="M20">
        <v>2</v>
      </c>
    </row>
    <row r="21" spans="1:13" x14ac:dyDescent="0.3">
      <c r="A21" s="12">
        <f>IFERROR(INDEX(Data!$D$2:$D$101,_xlfn.AGGREGATE(15,6,(ROW(Data!$B$2:$B$101)-ROW(Data!$B$2)+1)/(Data!$B$2:$B$101=A$9),ROWS(A$10:A21))),"")</f>
        <v>75</v>
      </c>
      <c r="B21" s="12">
        <f>IFERROR(INDEX(Data!$D$2:$D$101,_xlfn.AGGREGATE(15,6,(ROW(Data!$B$2:$B$101)-ROW(Data!$B$2)+1)/(Data!$B$2:$B$101=B$9),ROWS(B$10:B21))),"")</f>
        <v>31.6</v>
      </c>
      <c r="J21" s="19">
        <f>$E$4</f>
        <v>74.25</v>
      </c>
      <c r="K21">
        <v>1</v>
      </c>
      <c r="L21" s="19">
        <f>$E$5</f>
        <v>109.38499999999999</v>
      </c>
      <c r="M21">
        <v>2</v>
      </c>
    </row>
    <row r="22" spans="1:13" x14ac:dyDescent="0.3">
      <c r="A22" s="11">
        <f>IFERROR(INDEX(Data!$D$2:$D$101,_xlfn.AGGREGATE(15,6,(ROW(Data!$B$2:$B$101)-ROW(Data!$B$2)+1)/(Data!$B$2:$B$101=A$9),ROWS(A$10:A22))),"")</f>
        <v>40</v>
      </c>
      <c r="B22" s="11">
        <f>IFERROR(INDEX(Data!$D$2:$D$101,_xlfn.AGGREGATE(15,6,(ROW(Data!$B$2:$B$101)-ROW(Data!$B$2)+1)/(Data!$B$2:$B$101=B$9),ROWS(B$10:B22))),"")</f>
        <v>70.819999999999993</v>
      </c>
      <c r="J22" s="19">
        <f>$E$4</f>
        <v>74.25</v>
      </c>
      <c r="K22">
        <v>1.2</v>
      </c>
      <c r="L22" s="19">
        <f>$E$5</f>
        <v>109.38499999999999</v>
      </c>
      <c r="M22">
        <v>2.2000000000000002</v>
      </c>
    </row>
    <row r="23" spans="1:13" x14ac:dyDescent="0.3">
      <c r="A23" s="12">
        <f>IFERROR(INDEX(Data!$D$2:$D$101,_xlfn.AGGREGATE(15,6,(ROW(Data!$B$2:$B$101)-ROW(Data!$B$2)+1)/(Data!$B$2:$B$101=A$9),ROWS(A$10:A23))),"")</f>
        <v>29.5</v>
      </c>
      <c r="B23" s="12">
        <f>IFERROR(INDEX(Data!$D$2:$D$101,_xlfn.AGGREGATE(15,6,(ROW(Data!$B$2:$B$101)-ROW(Data!$B$2)+1)/(Data!$B$2:$B$101=B$9),ROWS(B$10:B23))),"")</f>
        <v>266</v>
      </c>
      <c r="J23" s="19">
        <f>$C$4</f>
        <v>39.375</v>
      </c>
      <c r="K23">
        <v>1.2</v>
      </c>
      <c r="L23" s="19">
        <f>$C$5</f>
        <v>43.5</v>
      </c>
      <c r="M23">
        <v>2.2000000000000002</v>
      </c>
    </row>
    <row r="24" spans="1:13" x14ac:dyDescent="0.3">
      <c r="A24" s="11">
        <f>IFERROR(INDEX(Data!$D$2:$D$101,_xlfn.AGGREGATE(15,6,(ROW(Data!$B$2:$B$101)-ROW(Data!$B$2)+1)/(Data!$B$2:$B$101=A$9),ROWS(A$10:A24))),"")</f>
        <v>102.5</v>
      </c>
      <c r="B24" s="11">
        <f>IFERROR(INDEX(Data!$D$2:$D$101,_xlfn.AGGREGATE(15,6,(ROW(Data!$B$2:$B$101)-ROW(Data!$B$2)+1)/(Data!$B$2:$B$101=B$9),ROWS(B$10:B24))),"")</f>
        <v>39.5</v>
      </c>
      <c r="J24" s="19">
        <f>$C$4</f>
        <v>39.375</v>
      </c>
      <c r="K24">
        <v>0.8</v>
      </c>
      <c r="L24" s="19">
        <f>$C$5</f>
        <v>43.5</v>
      </c>
      <c r="M24">
        <v>1.8</v>
      </c>
    </row>
    <row r="25" spans="1:13" x14ac:dyDescent="0.3">
      <c r="A25" s="12">
        <f>IFERROR(INDEX(Data!$D$2:$D$101,_xlfn.AGGREGATE(15,6,(ROW(Data!$B$2:$B$101)-ROW(Data!$B$2)+1)/(Data!$B$2:$B$101=A$9),ROWS(A$10:A25))),"")</f>
        <v>52.5</v>
      </c>
      <c r="B25" s="12">
        <f>IFERROR(INDEX(Data!$D$2:$D$101,_xlfn.AGGREGATE(15,6,(ROW(Data!$B$2:$B$101)-ROW(Data!$B$2)+1)/(Data!$B$2:$B$101=B$9),ROWS(B$10:B25))),"")</f>
        <v>30.02</v>
      </c>
      <c r="J25" s="19">
        <f>$D$4</f>
        <v>51</v>
      </c>
      <c r="K25">
        <v>0.8</v>
      </c>
      <c r="L25" s="19">
        <f>$D$5</f>
        <v>63.42</v>
      </c>
      <c r="M25">
        <v>1.8</v>
      </c>
    </row>
    <row r="26" spans="1:13" x14ac:dyDescent="0.3">
      <c r="A26" s="11">
        <f>IFERROR(INDEX(Data!$D$2:$D$101,_xlfn.AGGREGATE(15,6,(ROW(Data!$B$2:$B$101)-ROW(Data!$B$2)+1)/(Data!$B$2:$B$101=A$9),ROWS(A$10:A26))),"")</f>
        <v>123.5</v>
      </c>
      <c r="B26" s="11">
        <f>IFERROR(INDEX(Data!$D$2:$D$101,_xlfn.AGGREGATE(15,6,(ROW(Data!$B$2:$B$101)-ROW(Data!$B$2)+1)/(Data!$B$2:$B$101=B$9),ROWS(B$10:B26))),"")</f>
        <v>192.8</v>
      </c>
      <c r="J26" s="19">
        <f>$D$4</f>
        <v>51</v>
      </c>
      <c r="K26">
        <v>1.2</v>
      </c>
      <c r="L26" s="19">
        <f>$D$5</f>
        <v>63.42</v>
      </c>
      <c r="M26">
        <v>2.2000000000000002</v>
      </c>
    </row>
    <row r="27" spans="1:13" x14ac:dyDescent="0.3">
      <c r="A27" s="12">
        <f>IFERROR(INDEX(Data!$D$2:$D$101,_xlfn.AGGREGATE(15,6,(ROW(Data!$B$2:$B$101)-ROW(Data!$B$2)+1)/(Data!$B$2:$B$101=A$9),ROWS(A$10:A27))),"")</f>
        <v>25</v>
      </c>
      <c r="B27" s="12">
        <f>IFERROR(INDEX(Data!$D$2:$D$101,_xlfn.AGGREGATE(15,6,(ROW(Data!$B$2:$B$101)-ROW(Data!$B$2)+1)/(Data!$B$2:$B$101=B$9),ROWS(B$10:B27))),"")</f>
        <v>71.2</v>
      </c>
      <c r="J27" s="19">
        <f>$D$4</f>
        <v>51</v>
      </c>
      <c r="K27">
        <v>1.2</v>
      </c>
      <c r="L27" s="19">
        <f>$D$5</f>
        <v>63.42</v>
      </c>
      <c r="M27">
        <v>2.2000000000000002</v>
      </c>
    </row>
    <row r="28" spans="1:13" x14ac:dyDescent="0.3">
      <c r="A28" s="11">
        <f>IFERROR(INDEX(Data!$D$2:$D$101,_xlfn.AGGREGATE(15,6,(ROW(Data!$B$2:$B$101)-ROW(Data!$B$2)+1)/(Data!$B$2:$B$101=A$9),ROWS(A$10:A28))),"")</f>
        <v>58</v>
      </c>
      <c r="B28" s="11">
        <f>IFERROR(INDEX(Data!$D$2:$D$101,_xlfn.AGGREGATE(15,6,(ROW(Data!$B$2:$B$101)-ROW(Data!$B$2)+1)/(Data!$B$2:$B$101=B$9),ROWS(B$10:B28))),"")</f>
        <v>18</v>
      </c>
      <c r="J28" s="19">
        <f>$D$4</f>
        <v>51</v>
      </c>
      <c r="K28">
        <v>1.2</v>
      </c>
      <c r="L28" s="19">
        <f>$D$5</f>
        <v>63.42</v>
      </c>
      <c r="M28">
        <v>2.2000000000000002</v>
      </c>
    </row>
    <row r="29" spans="1:13" x14ac:dyDescent="0.3">
      <c r="A29" s="12">
        <f>IFERROR(INDEX(Data!$D$2:$D$101,_xlfn.AGGREGATE(15,6,(ROW(Data!$B$2:$B$101)-ROW(Data!$B$2)+1)/(Data!$B$2:$B$101=A$9),ROWS(A$10:A29))),"")</f>
        <v>74</v>
      </c>
      <c r="B29" s="12">
        <f>IFERROR(INDEX(Data!$D$2:$D$101,_xlfn.AGGREGATE(15,6,(ROW(Data!$B$2:$B$101)-ROW(Data!$B$2)+1)/(Data!$B$2:$B$101=B$9),ROWS(B$10:B29))),"")</f>
        <v>63.2</v>
      </c>
      <c r="J29" s="19">
        <f>$D$4</f>
        <v>51</v>
      </c>
      <c r="K29">
        <v>1.2</v>
      </c>
      <c r="L29" s="19">
        <f>$D$5</f>
        <v>63.42</v>
      </c>
      <c r="M29">
        <v>2.2000000000000002</v>
      </c>
    </row>
    <row r="30" spans="1:13" x14ac:dyDescent="0.3">
      <c r="A30" s="11">
        <f>IFERROR(INDEX(Data!$D$2:$D$101,_xlfn.AGGREGATE(15,6,(ROW(Data!$B$2:$B$101)-ROW(Data!$B$2)+1)/(Data!$B$2:$B$101=A$9),ROWS(A$10:A30))),"")</f>
        <v>49.5</v>
      </c>
      <c r="B30" s="11">
        <f>IFERROR(INDEX(Data!$D$2:$D$101,_xlfn.AGGREGATE(15,6,(ROW(Data!$B$2:$B$101)-ROW(Data!$B$2)+1)/(Data!$B$2:$B$101=B$9),ROWS(B$10:B30))),"")</f>
        <v>63.2</v>
      </c>
    </row>
    <row r="31" spans="1:13" x14ac:dyDescent="0.3">
      <c r="A31" s="12">
        <f>IFERROR(INDEX(Data!$D$2:$D$101,_xlfn.AGGREGATE(15,6,(ROW(Data!$B$2:$B$101)-ROW(Data!$B$2)+1)/(Data!$B$2:$B$101=A$9),ROWS(A$10:A31))),"")</f>
        <v>69</v>
      </c>
      <c r="B31" s="12">
        <f>IFERROR(INDEX(Data!$D$2:$D$101,_xlfn.AGGREGATE(15,6,(ROW(Data!$B$2:$B$101)-ROW(Data!$B$2)+1)/(Data!$B$2:$B$101=B$9),ROWS(B$10:B31))),"")</f>
        <v>105.5</v>
      </c>
    </row>
    <row r="32" spans="1:13" x14ac:dyDescent="0.3">
      <c r="A32" s="11">
        <f>IFERROR(INDEX(Data!$D$2:$D$101,_xlfn.AGGREGATE(15,6,(ROW(Data!$B$2:$B$101)-ROW(Data!$B$2)+1)/(Data!$B$2:$B$101=A$9),ROWS(A$10:A32))),"")</f>
        <v>39</v>
      </c>
      <c r="B32" s="11">
        <f>IFERROR(INDEX(Data!$D$2:$D$101,_xlfn.AGGREGATE(15,6,(ROW(Data!$B$2:$B$101)-ROW(Data!$B$2)+1)/(Data!$B$2:$B$101=B$9),ROWS(B$10:B32))),"")</f>
        <v>117.5</v>
      </c>
      <c r="J32" t="s">
        <v>94</v>
      </c>
      <c r="K32" t="s">
        <v>95</v>
      </c>
      <c r="L32" t="s">
        <v>96</v>
      </c>
      <c r="M32" t="s">
        <v>97</v>
      </c>
    </row>
    <row r="33" spans="1:13" x14ac:dyDescent="0.3">
      <c r="A33" s="12">
        <f>IFERROR(INDEX(Data!$D$2:$D$101,_xlfn.AGGREGATE(15,6,(ROW(Data!$B$2:$B$101)-ROW(Data!$B$2)+1)/(Data!$B$2:$B$101=A$9),ROWS(A$10:A33))),"")</f>
        <v>89</v>
      </c>
      <c r="B33" s="12">
        <f>IFERROR(INDEX(Data!$D$2:$D$101,_xlfn.AGGREGATE(15,6,(ROW(Data!$B$2:$B$101)-ROW(Data!$B$2)+1)/(Data!$B$2:$B$101=B$9),ROWS(B$10:B33))),"")</f>
        <v>13.23</v>
      </c>
      <c r="J33" t="e">
        <f t="shared" ref="J33:J64" si="0">IF(AND(ISNUMBER(A10),OR(A10&lt;$J$4,A10&gt;$K$4)),A10,NA())</f>
        <v>#N/A</v>
      </c>
      <c r="K33">
        <v>1</v>
      </c>
      <c r="L33" t="e">
        <f t="shared" ref="L33:L64" si="1">IF(AND(ISNUMBER(B10),OR(B10&lt;$J$5,B10&gt;$K$5)),B10,NA())</f>
        <v>#N/A</v>
      </c>
      <c r="M33">
        <v>2</v>
      </c>
    </row>
    <row r="34" spans="1:13" x14ac:dyDescent="0.3">
      <c r="A34" s="11">
        <f>IFERROR(INDEX(Data!$D$2:$D$101,_xlfn.AGGREGATE(15,6,(ROW(Data!$B$2:$B$101)-ROW(Data!$B$2)+1)/(Data!$B$2:$B$101=A$9),ROWS(A$10:A34))),"")</f>
        <v>37.5</v>
      </c>
      <c r="B34" s="11">
        <f>IFERROR(INDEX(Data!$D$2:$D$101,_xlfn.AGGREGATE(15,6,(ROW(Data!$B$2:$B$101)-ROW(Data!$B$2)+1)/(Data!$B$2:$B$101=B$9),ROWS(B$10:B34))),"")</f>
        <v>198.8</v>
      </c>
      <c r="J34" t="e">
        <f t="shared" si="0"/>
        <v>#N/A</v>
      </c>
      <c r="K34">
        <v>1</v>
      </c>
      <c r="L34" t="e">
        <f t="shared" si="1"/>
        <v>#N/A</v>
      </c>
      <c r="M34">
        <v>2</v>
      </c>
    </row>
    <row r="35" spans="1:13" x14ac:dyDescent="0.3">
      <c r="A35" s="12">
        <f>IFERROR(INDEX(Data!$D$2:$D$101,_xlfn.AGGREGATE(15,6,(ROW(Data!$B$2:$B$101)-ROW(Data!$B$2)+1)/(Data!$B$2:$B$101=A$9),ROWS(A$10:A35))),"")</f>
        <v>144</v>
      </c>
      <c r="B35" s="12">
        <f>IFERROR(INDEX(Data!$D$2:$D$101,_xlfn.AGGREGATE(15,6,(ROW(Data!$B$2:$B$101)-ROW(Data!$B$2)+1)/(Data!$B$2:$B$101=B$9),ROWS(B$10:B35))),"")</f>
        <v>19.5</v>
      </c>
      <c r="J35" t="e">
        <f t="shared" si="0"/>
        <v>#N/A</v>
      </c>
      <c r="K35">
        <v>1</v>
      </c>
      <c r="L35" t="e">
        <f t="shared" si="1"/>
        <v>#N/A</v>
      </c>
      <c r="M35">
        <v>2</v>
      </c>
    </row>
    <row r="36" spans="1:13" x14ac:dyDescent="0.3">
      <c r="A36" s="11">
        <f>IFERROR(INDEX(Data!$D$2:$D$101,_xlfn.AGGREGATE(15,6,(ROW(Data!$B$2:$B$101)-ROW(Data!$B$2)+1)/(Data!$B$2:$B$101=A$9),ROWS(A$10:A36))),"")</f>
        <v>107</v>
      </c>
      <c r="B36" s="11">
        <f>IFERROR(INDEX(Data!$D$2:$D$101,_xlfn.AGGREGATE(15,6,(ROW(Data!$B$2:$B$101)-ROW(Data!$B$2)+1)/(Data!$B$2:$B$101=B$9),ROWS(B$10:B36))),"")</f>
        <v>62.4</v>
      </c>
      <c r="J36" t="e">
        <f t="shared" si="0"/>
        <v>#N/A</v>
      </c>
      <c r="K36">
        <v>1</v>
      </c>
      <c r="L36" t="e">
        <f t="shared" si="1"/>
        <v>#N/A</v>
      </c>
      <c r="M36">
        <v>2</v>
      </c>
    </row>
    <row r="37" spans="1:13" x14ac:dyDescent="0.3">
      <c r="A37" s="12">
        <f>IFERROR(INDEX(Data!$D$2:$D$101,_xlfn.AGGREGATE(15,6,(ROW(Data!$B$2:$B$101)-ROW(Data!$B$2)+1)/(Data!$B$2:$B$101=A$9),ROWS(A$10:A37))),"")</f>
        <v>159.75</v>
      </c>
      <c r="B37" s="12">
        <f>IFERROR(INDEX(Data!$D$2:$D$101,_xlfn.AGGREGATE(15,6,(ROW(Data!$B$2:$B$101)-ROW(Data!$B$2)+1)/(Data!$B$2:$B$101=B$9),ROWS(B$10:B37))),"")</f>
        <v>23.8</v>
      </c>
      <c r="J37" t="e">
        <f t="shared" si="0"/>
        <v>#N/A</v>
      </c>
      <c r="K37">
        <v>1</v>
      </c>
      <c r="L37" t="e">
        <f t="shared" si="1"/>
        <v>#N/A</v>
      </c>
      <c r="M37">
        <v>2</v>
      </c>
    </row>
    <row r="38" spans="1:13" x14ac:dyDescent="0.3">
      <c r="A38" s="11">
        <f>IFERROR(INDEX(Data!$D$2:$D$101,_xlfn.AGGREGATE(15,6,(ROW(Data!$B$2:$B$101)-ROW(Data!$B$2)+1)/(Data!$B$2:$B$101=A$9),ROWS(A$10:A38))),"")</f>
        <v>66</v>
      </c>
      <c r="B38" s="11">
        <f>IFERROR(INDEX(Data!$D$2:$D$101,_xlfn.AGGREGATE(15,6,(ROW(Data!$B$2:$B$101)-ROW(Data!$B$2)+1)/(Data!$B$2:$B$101=B$9),ROWS(B$10:B38))),"")</f>
        <v>39.6</v>
      </c>
      <c r="J38" t="e">
        <f t="shared" si="0"/>
        <v>#N/A</v>
      </c>
      <c r="K38">
        <v>1</v>
      </c>
      <c r="L38" t="e">
        <f t="shared" si="1"/>
        <v>#N/A</v>
      </c>
      <c r="M38">
        <v>2</v>
      </c>
    </row>
    <row r="39" spans="1:13" x14ac:dyDescent="0.3">
      <c r="A39" s="12">
        <f>IFERROR(INDEX(Data!$D$2:$D$101,_xlfn.AGGREGATE(15,6,(ROW(Data!$B$2:$B$101)-ROW(Data!$B$2)+1)/(Data!$B$2:$B$101=A$9),ROWS(A$10:A39))),"")</f>
        <v>39.5</v>
      </c>
      <c r="B39" s="12">
        <f>IFERROR(INDEX(Data!$D$2:$D$101,_xlfn.AGGREGATE(15,6,(ROW(Data!$B$2:$B$101)-ROW(Data!$B$2)+1)/(Data!$B$2:$B$101=B$9),ROWS(B$10:B39))),"")</f>
        <v>63.64</v>
      </c>
      <c r="J39" t="e">
        <f t="shared" si="0"/>
        <v>#N/A</v>
      </c>
      <c r="K39">
        <v>1</v>
      </c>
      <c r="L39" t="e">
        <f t="shared" si="1"/>
        <v>#N/A</v>
      </c>
      <c r="M39">
        <v>2</v>
      </c>
    </row>
    <row r="40" spans="1:13" x14ac:dyDescent="0.3">
      <c r="A40" s="11" t="str">
        <f>IFERROR(INDEX(Data!$D$2:$D$101,_xlfn.AGGREGATE(15,6,(ROW(Data!$B$2:$B$101)-ROW(Data!$B$2)+1)/(Data!$B$2:$B$101=A$9),ROWS(A$10:A40))),"")</f>
        <v/>
      </c>
      <c r="B40" s="11">
        <f>IFERROR(INDEX(Data!$D$2:$D$101,_xlfn.AGGREGATE(15,6,(ROW(Data!$B$2:$B$101)-ROW(Data!$B$2)+1)/(Data!$B$2:$B$101=B$9),ROWS(B$10:B40))),"")</f>
        <v>14.82</v>
      </c>
      <c r="J40" t="e">
        <f t="shared" si="0"/>
        <v>#N/A</v>
      </c>
      <c r="K40">
        <v>1</v>
      </c>
      <c r="L40" t="e">
        <f t="shared" si="1"/>
        <v>#N/A</v>
      </c>
      <c r="M40">
        <v>2</v>
      </c>
    </row>
    <row r="41" spans="1:13" x14ac:dyDescent="0.3">
      <c r="A41" s="12" t="str">
        <f>IFERROR(INDEX(Data!$D$2:$D$101,_xlfn.AGGREGATE(15,6,(ROW(Data!$B$2:$B$101)-ROW(Data!$B$2)+1)/(Data!$B$2:$B$101=A$9),ROWS(A$10:A41))),"")</f>
        <v/>
      </c>
      <c r="B41" s="12">
        <f>IFERROR(INDEX(Data!$D$2:$D$101,_xlfn.AGGREGATE(15,6,(ROW(Data!$B$2:$B$101)-ROW(Data!$B$2)+1)/(Data!$B$2:$B$101=B$9),ROWS(B$10:B41))),"")</f>
        <v>145.19999999999999</v>
      </c>
      <c r="J41" t="e">
        <f t="shared" si="0"/>
        <v>#N/A</v>
      </c>
      <c r="K41">
        <v>1</v>
      </c>
      <c r="L41" t="e">
        <f t="shared" si="1"/>
        <v>#N/A</v>
      </c>
      <c r="M41">
        <v>2</v>
      </c>
    </row>
    <row r="42" spans="1:13" x14ac:dyDescent="0.3">
      <c r="A42" s="11" t="str">
        <f>IFERROR(INDEX(Data!$D$2:$D$101,_xlfn.AGGREGATE(15,6,(ROW(Data!$B$2:$B$101)-ROW(Data!$B$2)+1)/(Data!$B$2:$B$101=A$9),ROWS(A$10:A42))),"")</f>
        <v/>
      </c>
      <c r="B42" s="11">
        <f>IFERROR(INDEX(Data!$D$2:$D$101,_xlfn.AGGREGATE(15,6,(ROW(Data!$B$2:$B$101)-ROW(Data!$B$2)+1)/(Data!$B$2:$B$101=B$9),ROWS(B$10:B42))),"")</f>
        <v>176.62</v>
      </c>
      <c r="J42" t="e">
        <f t="shared" si="0"/>
        <v>#N/A</v>
      </c>
      <c r="K42">
        <v>1</v>
      </c>
      <c r="L42" t="e">
        <f t="shared" si="1"/>
        <v>#N/A</v>
      </c>
      <c r="M42">
        <v>2</v>
      </c>
    </row>
    <row r="43" spans="1:13" x14ac:dyDescent="0.3">
      <c r="A43" s="12" t="str">
        <f>IFERROR(INDEX(Data!$D$2:$D$101,_xlfn.AGGREGATE(15,6,(ROW(Data!$B$2:$B$101)-ROW(Data!$B$2)+1)/(Data!$B$2:$B$101=A$9),ROWS(A$10:A43))),"")</f>
        <v/>
      </c>
      <c r="B43" s="12">
        <f>IFERROR(INDEX(Data!$D$2:$D$101,_xlfn.AGGREGATE(15,6,(ROW(Data!$B$2:$B$101)-ROW(Data!$B$2)+1)/(Data!$B$2:$B$101=B$9),ROWS(B$10:B43))),"")</f>
        <v>118.8</v>
      </c>
      <c r="J43" t="e">
        <f t="shared" si="0"/>
        <v>#N/A</v>
      </c>
      <c r="K43">
        <v>1</v>
      </c>
      <c r="L43" t="e">
        <f t="shared" si="1"/>
        <v>#N/A</v>
      </c>
      <c r="M43">
        <v>2</v>
      </c>
    </row>
    <row r="44" spans="1:13" x14ac:dyDescent="0.3">
      <c r="A44" s="11" t="str">
        <f>IFERROR(INDEX(Data!$D$2:$D$101,_xlfn.AGGREGATE(15,6,(ROW(Data!$B$2:$B$101)-ROW(Data!$B$2)+1)/(Data!$B$2:$B$101=A$9),ROWS(A$10:A44))),"")</f>
        <v/>
      </c>
      <c r="B44" s="11">
        <f>IFERROR(INDEX(Data!$D$2:$D$101,_xlfn.AGGREGATE(15,6,(ROW(Data!$B$2:$B$101)-ROW(Data!$B$2)+1)/(Data!$B$2:$B$101=B$9),ROWS(B$10:B44))),"")</f>
        <v>141.6</v>
      </c>
      <c r="J44" t="e">
        <f t="shared" si="0"/>
        <v>#N/A</v>
      </c>
      <c r="K44">
        <v>1</v>
      </c>
      <c r="L44" t="e">
        <f t="shared" si="1"/>
        <v>#N/A</v>
      </c>
      <c r="M44">
        <v>2</v>
      </c>
    </row>
    <row r="45" spans="1:13" x14ac:dyDescent="0.3">
      <c r="A45" s="12" t="str">
        <f>IFERROR(INDEX(Data!$D$2:$D$101,_xlfn.AGGREGATE(15,6,(ROW(Data!$B$2:$B$101)-ROW(Data!$B$2)+1)/(Data!$B$2:$B$101=A$9),ROWS(A$10:A45))),"")</f>
        <v/>
      </c>
      <c r="B45" s="12">
        <f>IFERROR(INDEX(Data!$D$2:$D$101,_xlfn.AGGREGATE(15,6,(ROW(Data!$B$2:$B$101)-ROW(Data!$B$2)+1)/(Data!$B$2:$B$101=B$9),ROWS(B$10:B45))),"")</f>
        <v>123.1</v>
      </c>
      <c r="J45" t="e">
        <f t="shared" si="0"/>
        <v>#N/A</v>
      </c>
      <c r="K45">
        <v>1</v>
      </c>
      <c r="L45" t="e">
        <f t="shared" si="1"/>
        <v>#N/A</v>
      </c>
      <c r="M45">
        <v>2</v>
      </c>
    </row>
    <row r="46" spans="1:13" x14ac:dyDescent="0.3">
      <c r="A46" s="11" t="str">
        <f>IFERROR(INDEX(Data!$D$2:$D$101,_xlfn.AGGREGATE(15,6,(ROW(Data!$B$2:$B$101)-ROW(Data!$B$2)+1)/(Data!$B$2:$B$101=A$9),ROWS(A$10:A46))),"")</f>
        <v/>
      </c>
      <c r="B46" s="11">
        <f>IFERROR(INDEX(Data!$D$2:$D$101,_xlfn.AGGREGATE(15,6,(ROW(Data!$B$2:$B$101)-ROW(Data!$B$2)+1)/(Data!$B$2:$B$101=B$9),ROWS(B$10:B46))),"")</f>
        <v>80.400000000000006</v>
      </c>
      <c r="J46" t="e">
        <f t="shared" si="0"/>
        <v>#N/A</v>
      </c>
      <c r="K46">
        <v>1</v>
      </c>
      <c r="L46">
        <f t="shared" si="1"/>
        <v>266</v>
      </c>
      <c r="M46">
        <v>2</v>
      </c>
    </row>
    <row r="47" spans="1:13" x14ac:dyDescent="0.3">
      <c r="A47" s="12" t="str">
        <f>IFERROR(INDEX(Data!$D$2:$D$101,_xlfn.AGGREGATE(15,6,(ROW(Data!$B$2:$B$101)-ROW(Data!$B$2)+1)/(Data!$B$2:$B$101=A$9),ROWS(A$10:A47))),"")</f>
        <v/>
      </c>
      <c r="B47" s="12">
        <f>IFERROR(INDEX(Data!$D$2:$D$101,_xlfn.AGGREGATE(15,6,(ROW(Data!$B$2:$B$101)-ROW(Data!$B$2)+1)/(Data!$B$2:$B$101=B$9),ROWS(B$10:B47))),"")</f>
        <v>65.2</v>
      </c>
      <c r="J47" t="e">
        <f t="shared" si="0"/>
        <v>#N/A</v>
      </c>
      <c r="K47">
        <v>1</v>
      </c>
      <c r="L47" t="e">
        <f t="shared" si="1"/>
        <v>#N/A</v>
      </c>
      <c r="M47">
        <v>2</v>
      </c>
    </row>
    <row r="48" spans="1:13" x14ac:dyDescent="0.3">
      <c r="A48" s="11" t="str">
        <f>IFERROR(INDEX(Data!$D$2:$D$101,_xlfn.AGGREGATE(15,6,(ROW(Data!$B$2:$B$101)-ROW(Data!$B$2)+1)/(Data!$B$2:$B$101=A$9),ROWS(A$10:A48))),"")</f>
        <v/>
      </c>
      <c r="B48" s="11">
        <f>IFERROR(INDEX(Data!$D$2:$D$101,_xlfn.AGGREGATE(15,6,(ROW(Data!$B$2:$B$101)-ROW(Data!$B$2)+1)/(Data!$B$2:$B$101=B$9),ROWS(B$10:B48))),"")</f>
        <v>113</v>
      </c>
      <c r="J48" t="e">
        <f t="shared" si="0"/>
        <v>#N/A</v>
      </c>
      <c r="K48">
        <v>1</v>
      </c>
      <c r="L48" t="e">
        <f t="shared" si="1"/>
        <v>#N/A</v>
      </c>
      <c r="M48">
        <v>2</v>
      </c>
    </row>
    <row r="49" spans="1:13" x14ac:dyDescent="0.3">
      <c r="A49" s="12" t="str">
        <f>IFERROR(INDEX(Data!$D$2:$D$101,_xlfn.AGGREGATE(15,6,(ROW(Data!$B$2:$B$101)-ROW(Data!$B$2)+1)/(Data!$B$2:$B$101=A$9),ROWS(A$10:A49))),"")</f>
        <v/>
      </c>
      <c r="B49" s="12">
        <f>IFERROR(INDEX(Data!$D$2:$D$101,_xlfn.AGGREGATE(15,6,(ROW(Data!$B$2:$B$101)-ROW(Data!$B$2)+1)/(Data!$B$2:$B$101=B$9),ROWS(B$10:B49))),"")</f>
        <v>108.8</v>
      </c>
      <c r="J49" t="e">
        <f t="shared" si="0"/>
        <v>#N/A</v>
      </c>
      <c r="K49">
        <v>1</v>
      </c>
      <c r="L49" t="e">
        <f t="shared" si="1"/>
        <v>#N/A</v>
      </c>
      <c r="M49">
        <v>2</v>
      </c>
    </row>
    <row r="50" spans="1:13" x14ac:dyDescent="0.3">
      <c r="A50" s="11" t="str">
        <f>IFERROR(INDEX(Data!$D$2:$D$101,_xlfn.AGGREGATE(15,6,(ROW(Data!$B$2:$B$101)-ROW(Data!$B$2)+1)/(Data!$B$2:$B$101=A$9),ROWS(A$10:A50))),"")</f>
        <v/>
      </c>
      <c r="B50" s="11">
        <f>IFERROR(INDEX(Data!$D$2:$D$101,_xlfn.AGGREGATE(15,6,(ROW(Data!$B$2:$B$101)-ROW(Data!$B$2)+1)/(Data!$B$2:$B$101=B$9),ROWS(B$10:B50))),"")</f>
        <v>59.91</v>
      </c>
      <c r="J50" t="e">
        <f t="shared" si="0"/>
        <v>#N/A</v>
      </c>
      <c r="K50">
        <v>1</v>
      </c>
      <c r="L50" t="e">
        <f t="shared" si="1"/>
        <v>#N/A</v>
      </c>
      <c r="M50">
        <v>2</v>
      </c>
    </row>
    <row r="51" spans="1:13" x14ac:dyDescent="0.3">
      <c r="A51" s="12" t="str">
        <f>IFERROR(INDEX(Data!$D$2:$D$101,_xlfn.AGGREGATE(15,6,(ROW(Data!$B$2:$B$101)-ROW(Data!$B$2)+1)/(Data!$B$2:$B$101=A$9),ROWS(A$10:A51))),"")</f>
        <v/>
      </c>
      <c r="B51" s="12">
        <f>IFERROR(INDEX(Data!$D$2:$D$101,_xlfn.AGGREGATE(15,6,(ROW(Data!$B$2:$B$101)-ROW(Data!$B$2)+1)/(Data!$B$2:$B$101=B$9),ROWS(B$10:B51))),"")</f>
        <v>53.6</v>
      </c>
      <c r="J51" t="e">
        <f t="shared" si="0"/>
        <v>#N/A</v>
      </c>
      <c r="K51">
        <v>1</v>
      </c>
      <c r="L51" t="e">
        <f t="shared" si="1"/>
        <v>#N/A</v>
      </c>
      <c r="M51">
        <v>2</v>
      </c>
    </row>
    <row r="52" spans="1:13" x14ac:dyDescent="0.3">
      <c r="A52" s="11" t="str">
        <f>IFERROR(INDEX(Data!$D$2:$D$101,_xlfn.AGGREGATE(15,6,(ROW(Data!$B$2:$B$101)-ROW(Data!$B$2)+1)/(Data!$B$2:$B$101=A$9),ROWS(A$10:A52))),"")</f>
        <v/>
      </c>
      <c r="B52" s="11">
        <f>IFERROR(INDEX(Data!$D$2:$D$101,_xlfn.AGGREGATE(15,6,(ROW(Data!$B$2:$B$101)-ROW(Data!$B$2)+1)/(Data!$B$2:$B$101=B$9),ROWS(B$10:B52))),"")</f>
        <v>31.6</v>
      </c>
      <c r="J52" t="e">
        <f t="shared" si="0"/>
        <v>#N/A</v>
      </c>
      <c r="K52">
        <v>1</v>
      </c>
      <c r="L52" t="e">
        <f t="shared" si="1"/>
        <v>#N/A</v>
      </c>
      <c r="M52">
        <v>2</v>
      </c>
    </row>
    <row r="53" spans="1:13" x14ac:dyDescent="0.3">
      <c r="A53" s="12" t="str">
        <f>IFERROR(INDEX(Data!$D$2:$D$101,_xlfn.AGGREGATE(15,6,(ROW(Data!$B$2:$B$101)-ROW(Data!$B$2)+1)/(Data!$B$2:$B$101=A$9),ROWS(A$10:A53))),"")</f>
        <v/>
      </c>
      <c r="B53" s="12">
        <f>IFERROR(INDEX(Data!$D$2:$D$101,_xlfn.AGGREGATE(15,6,(ROW(Data!$B$2:$B$101)-ROW(Data!$B$2)+1)/(Data!$B$2:$B$101=B$9),ROWS(B$10:B53))),"")</f>
        <v>49.5</v>
      </c>
      <c r="J53" t="e">
        <f t="shared" si="0"/>
        <v>#N/A</v>
      </c>
      <c r="K53">
        <v>1</v>
      </c>
      <c r="L53" t="e">
        <f t="shared" si="1"/>
        <v>#N/A</v>
      </c>
      <c r="M53">
        <v>2</v>
      </c>
    </row>
    <row r="54" spans="1:13" x14ac:dyDescent="0.3">
      <c r="A54" s="11" t="str">
        <f>IFERROR(INDEX(Data!$D$2:$D$101,_xlfn.AGGREGATE(15,6,(ROW(Data!$B$2:$B$101)-ROW(Data!$B$2)+1)/(Data!$B$2:$B$101=A$9),ROWS(A$10:A54))),"")</f>
        <v/>
      </c>
      <c r="B54" s="11">
        <f>IFERROR(INDEX(Data!$D$2:$D$101,_xlfn.AGGREGATE(15,6,(ROW(Data!$B$2:$B$101)-ROW(Data!$B$2)+1)/(Data!$B$2:$B$101=B$9),ROWS(B$10:B54))),"")</f>
        <v>39.6</v>
      </c>
      <c r="J54" t="e">
        <f t="shared" si="0"/>
        <v>#N/A</v>
      </c>
      <c r="K54">
        <v>1</v>
      </c>
      <c r="L54" t="e">
        <f t="shared" si="1"/>
        <v>#N/A</v>
      </c>
      <c r="M54">
        <v>2</v>
      </c>
    </row>
    <row r="55" spans="1:13" x14ac:dyDescent="0.3">
      <c r="A55" s="12" t="str">
        <f>IFERROR(INDEX(Data!$D$2:$D$101,_xlfn.AGGREGATE(15,6,(ROW(Data!$B$2:$B$101)-ROW(Data!$B$2)+1)/(Data!$B$2:$B$101=A$9),ROWS(A$10:A55))),"")</f>
        <v/>
      </c>
      <c r="B55" s="12">
        <f>IFERROR(INDEX(Data!$D$2:$D$101,_xlfn.AGGREGATE(15,6,(ROW(Data!$B$2:$B$101)-ROW(Data!$B$2)+1)/(Data!$B$2:$B$101=B$9),ROWS(B$10:B55))),"")</f>
        <v>59.5</v>
      </c>
      <c r="J55" t="e">
        <f t="shared" si="0"/>
        <v>#N/A</v>
      </c>
      <c r="K55">
        <v>1</v>
      </c>
      <c r="L55" t="e">
        <f t="shared" si="1"/>
        <v>#N/A</v>
      </c>
      <c r="M55">
        <v>2</v>
      </c>
    </row>
    <row r="56" spans="1:13" x14ac:dyDescent="0.3">
      <c r="A56" s="11" t="str">
        <f>IFERROR(INDEX(Data!$D$2:$D$101,_xlfn.AGGREGATE(15,6,(ROW(Data!$B$2:$B$101)-ROW(Data!$B$2)+1)/(Data!$B$2:$B$101=A$9),ROWS(A$10:A56))),"")</f>
        <v/>
      </c>
      <c r="B56" s="11">
        <f>IFERROR(INDEX(Data!$D$2:$D$101,_xlfn.AGGREGATE(15,6,(ROW(Data!$B$2:$B$101)-ROW(Data!$B$2)+1)/(Data!$B$2:$B$101=B$9),ROWS(B$10:B56))),"")</f>
        <v>146.80000000000001</v>
      </c>
      <c r="J56" t="e">
        <f t="shared" si="0"/>
        <v>#N/A</v>
      </c>
      <c r="K56">
        <v>1</v>
      </c>
      <c r="L56" t="e">
        <f t="shared" si="1"/>
        <v>#N/A</v>
      </c>
      <c r="M56">
        <v>2</v>
      </c>
    </row>
    <row r="57" spans="1:13" x14ac:dyDescent="0.3">
      <c r="A57" s="12" t="str">
        <f>IFERROR(INDEX(Data!$D$2:$D$101,_xlfn.AGGREGATE(15,6,(ROW(Data!$B$2:$B$101)-ROW(Data!$B$2)+1)/(Data!$B$2:$B$101=A$9),ROWS(A$10:A57))),"")</f>
        <v/>
      </c>
      <c r="B57" s="12">
        <f>IFERROR(INDEX(Data!$D$2:$D$101,_xlfn.AGGREGATE(15,6,(ROW(Data!$B$2:$B$101)-ROW(Data!$B$2)+1)/(Data!$B$2:$B$101=B$9),ROWS(B$10:B57))),"")</f>
        <v>47.2</v>
      </c>
      <c r="J57" t="e">
        <f t="shared" si="0"/>
        <v>#N/A</v>
      </c>
      <c r="K57">
        <v>1</v>
      </c>
      <c r="L57" t="e">
        <f t="shared" si="1"/>
        <v>#N/A</v>
      </c>
      <c r="M57">
        <v>2</v>
      </c>
    </row>
    <row r="58" spans="1:13" x14ac:dyDescent="0.3">
      <c r="A58" s="11" t="str">
        <f>IFERROR(INDEX(Data!$D$2:$D$101,_xlfn.AGGREGATE(15,6,(ROW(Data!$B$2:$B$101)-ROW(Data!$B$2)+1)/(Data!$B$2:$B$101=A$9),ROWS(A$10:A58))),"")</f>
        <v/>
      </c>
      <c r="B58" s="11">
        <f>IFERROR(INDEX(Data!$D$2:$D$101,_xlfn.AGGREGATE(15,6,(ROW(Data!$B$2:$B$101)-ROW(Data!$B$2)+1)/(Data!$B$2:$B$101=B$9),ROWS(B$10:B58))),"")</f>
        <v>95.05</v>
      </c>
      <c r="J58">
        <f t="shared" si="0"/>
        <v>144</v>
      </c>
      <c r="K58">
        <v>1</v>
      </c>
      <c r="L58" t="e">
        <f t="shared" si="1"/>
        <v>#N/A</v>
      </c>
      <c r="M58">
        <v>2</v>
      </c>
    </row>
    <row r="59" spans="1:13" x14ac:dyDescent="0.3">
      <c r="A59" s="12" t="str">
        <f>IFERROR(INDEX(Data!$D$2:$D$101,_xlfn.AGGREGATE(15,6,(ROW(Data!$B$2:$B$101)-ROW(Data!$B$2)+1)/(Data!$B$2:$B$101=A$9),ROWS(A$10:A59))),"")</f>
        <v/>
      </c>
      <c r="B59" s="12">
        <f>IFERROR(INDEX(Data!$D$2:$D$101,_xlfn.AGGREGATE(15,6,(ROW(Data!$B$2:$B$101)-ROW(Data!$B$2)+1)/(Data!$B$2:$B$101=B$9),ROWS(B$10:B59))),"")</f>
        <v>155.32</v>
      </c>
      <c r="J59" t="e">
        <f t="shared" si="0"/>
        <v>#N/A</v>
      </c>
      <c r="K59">
        <v>1</v>
      </c>
      <c r="L59" t="e">
        <f t="shared" si="1"/>
        <v>#N/A</v>
      </c>
      <c r="M59">
        <v>2</v>
      </c>
    </row>
    <row r="60" spans="1:13" x14ac:dyDescent="0.3">
      <c r="A60" s="11" t="str">
        <f>IFERROR(INDEX(Data!$D$2:$D$101,_xlfn.AGGREGATE(15,6,(ROW(Data!$B$2:$B$101)-ROW(Data!$B$2)+1)/(Data!$B$2:$B$101=A$9),ROWS(A$10:A60))),"")</f>
        <v/>
      </c>
      <c r="B60" s="11">
        <f>IFERROR(INDEX(Data!$D$2:$D$101,_xlfn.AGGREGATE(15,6,(ROW(Data!$B$2:$B$101)-ROW(Data!$B$2)+1)/(Data!$B$2:$B$101=B$9),ROWS(B$10:B60))),"")</f>
        <v>58</v>
      </c>
      <c r="J60">
        <f t="shared" si="0"/>
        <v>159.75</v>
      </c>
      <c r="K60">
        <v>1</v>
      </c>
      <c r="L60" t="e">
        <f t="shared" si="1"/>
        <v>#N/A</v>
      </c>
      <c r="M60">
        <v>2</v>
      </c>
    </row>
    <row r="61" spans="1:13" x14ac:dyDescent="0.3">
      <c r="A61" s="12" t="str">
        <f>IFERROR(INDEX(Data!$D$2:$D$101,_xlfn.AGGREGATE(15,6,(ROW(Data!$B$2:$B$101)-ROW(Data!$B$2)+1)/(Data!$B$2:$B$101=A$9),ROWS(A$10:A61))),"")</f>
        <v/>
      </c>
      <c r="B61" s="12">
        <f>IFERROR(INDEX(Data!$D$2:$D$101,_xlfn.AGGREGATE(15,6,(ROW(Data!$B$2:$B$101)-ROW(Data!$B$2)+1)/(Data!$B$2:$B$101=B$9),ROWS(B$10:B61))),"")</f>
        <v>46.5</v>
      </c>
      <c r="J61" t="e">
        <f t="shared" si="0"/>
        <v>#N/A</v>
      </c>
      <c r="K61">
        <v>1</v>
      </c>
      <c r="L61" t="e">
        <f t="shared" si="1"/>
        <v>#N/A</v>
      </c>
      <c r="M61">
        <v>2</v>
      </c>
    </row>
    <row r="62" spans="1:13" x14ac:dyDescent="0.3">
      <c r="A62" s="11" t="str">
        <f>IFERROR(INDEX(Data!$D$2:$D$101,_xlfn.AGGREGATE(15,6,(ROW(Data!$B$2:$B$101)-ROW(Data!$B$2)+1)/(Data!$B$2:$B$101=A$9),ROWS(A$10:A62))),"")</f>
        <v/>
      </c>
      <c r="B62" s="11">
        <f>IFERROR(INDEX(Data!$D$2:$D$101,_xlfn.AGGREGATE(15,6,(ROW(Data!$B$2:$B$101)-ROW(Data!$B$2)+1)/(Data!$B$2:$B$101=B$9),ROWS(B$10:B62))),"")</f>
        <v>45.22</v>
      </c>
      <c r="J62" t="e">
        <f t="shared" si="0"/>
        <v>#N/A</v>
      </c>
      <c r="K62">
        <v>1</v>
      </c>
      <c r="L62" t="e">
        <f t="shared" si="1"/>
        <v>#N/A</v>
      </c>
      <c r="M62">
        <v>2</v>
      </c>
    </row>
    <row r="63" spans="1:13" x14ac:dyDescent="0.3">
      <c r="A63" s="12" t="str">
        <f>IFERROR(INDEX(Data!$D$2:$D$101,_xlfn.AGGREGATE(15,6,(ROW(Data!$B$2:$B$101)-ROW(Data!$B$2)+1)/(Data!$B$2:$B$101=A$9),ROWS(A$10:A63))),"")</f>
        <v/>
      </c>
      <c r="B63" s="12">
        <f>IFERROR(INDEX(Data!$D$2:$D$101,_xlfn.AGGREGATE(15,6,(ROW(Data!$B$2:$B$101)-ROW(Data!$B$2)+1)/(Data!$B$2:$B$101=B$9),ROWS(B$10:B63))),"")</f>
        <v>84.74</v>
      </c>
      <c r="J63" t="e">
        <f t="shared" si="0"/>
        <v>#N/A</v>
      </c>
      <c r="K63">
        <v>1</v>
      </c>
      <c r="L63" t="e">
        <f t="shared" si="1"/>
        <v>#N/A</v>
      </c>
      <c r="M63">
        <v>2</v>
      </c>
    </row>
    <row r="64" spans="1:13" x14ac:dyDescent="0.3">
      <c r="A64" s="11" t="str">
        <f>IFERROR(INDEX(Data!$D$2:$D$101,_xlfn.AGGREGATE(15,6,(ROW(Data!$B$2:$B$101)-ROW(Data!$B$2)+1)/(Data!$B$2:$B$101=A$9),ROWS(A$10:A64))),"")</f>
        <v/>
      </c>
      <c r="B64" s="11">
        <f>IFERROR(INDEX(Data!$D$2:$D$101,_xlfn.AGGREGATE(15,6,(ROW(Data!$B$2:$B$101)-ROW(Data!$B$2)+1)/(Data!$B$2:$B$101=B$9),ROWS(B$10:B64))),"")</f>
        <v>111.14</v>
      </c>
      <c r="J64" t="e">
        <f t="shared" si="0"/>
        <v>#N/A</v>
      </c>
      <c r="K64">
        <v>1</v>
      </c>
      <c r="L64" t="e">
        <f t="shared" si="1"/>
        <v>#N/A</v>
      </c>
      <c r="M64">
        <v>2</v>
      </c>
    </row>
    <row r="65" spans="1:13" x14ac:dyDescent="0.3">
      <c r="A65" s="12" t="str">
        <f>IFERROR(INDEX(Data!$D$2:$D$101,_xlfn.AGGREGATE(15,6,(ROW(Data!$B$2:$B$101)-ROW(Data!$B$2)+1)/(Data!$B$2:$B$101=A$9),ROWS(A$10:A65))),"")</f>
        <v/>
      </c>
      <c r="B65" s="12">
        <f>IFERROR(INDEX(Data!$D$2:$D$101,_xlfn.AGGREGATE(15,6,(ROW(Data!$B$2:$B$101)-ROW(Data!$B$2)+1)/(Data!$B$2:$B$101=B$9),ROWS(B$10:B65))),"")</f>
        <v>86.8</v>
      </c>
      <c r="J65" t="e">
        <f t="shared" ref="J65:J96" si="2">IF(AND(ISNUMBER(A42),OR(A42&lt;$J$4,A42&gt;$K$4)),A42,NA())</f>
        <v>#N/A</v>
      </c>
      <c r="K65">
        <v>1</v>
      </c>
      <c r="L65" t="e">
        <f t="shared" ref="L65:L96" si="3">IF(AND(ISNUMBER(B42),OR(B42&lt;$J$5,B42&gt;$K$5)),B42,NA())</f>
        <v>#N/A</v>
      </c>
      <c r="M65">
        <v>2</v>
      </c>
    </row>
    <row r="66" spans="1:13" x14ac:dyDescent="0.3">
      <c r="A66" s="11" t="str">
        <f>IFERROR(INDEX(Data!$D$2:$D$101,_xlfn.AGGREGATE(15,6,(ROW(Data!$B$2:$B$101)-ROW(Data!$B$2)+1)/(Data!$B$2:$B$101=A$9),ROWS(A$10:A66))),"")</f>
        <v/>
      </c>
      <c r="B66" s="11">
        <f>IFERROR(INDEX(Data!$D$2:$D$101,_xlfn.AGGREGATE(15,6,(ROW(Data!$B$2:$B$101)-ROW(Data!$B$2)+1)/(Data!$B$2:$B$101=B$9),ROWS(B$10:B66))),"")</f>
        <v>78</v>
      </c>
      <c r="J66" t="e">
        <f t="shared" si="2"/>
        <v>#N/A</v>
      </c>
      <c r="K66">
        <v>1</v>
      </c>
      <c r="L66" t="e">
        <f t="shared" si="3"/>
        <v>#N/A</v>
      </c>
      <c r="M66">
        <v>2</v>
      </c>
    </row>
    <row r="67" spans="1:13" x14ac:dyDescent="0.3">
      <c r="A67" s="12" t="str">
        <f>IFERROR(INDEX(Data!$D$2:$D$101,_xlfn.AGGREGATE(15,6,(ROW(Data!$B$2:$B$101)-ROW(Data!$B$2)+1)/(Data!$B$2:$B$101=A$9),ROWS(A$10:A67))),"")</f>
        <v/>
      </c>
      <c r="B67" s="12">
        <f>IFERROR(INDEX(Data!$D$2:$D$101,_xlfn.AGGREGATE(15,6,(ROW(Data!$B$2:$B$101)-ROW(Data!$B$2)+1)/(Data!$B$2:$B$101=B$9),ROWS(B$10:B67))),"")</f>
        <v>53.2</v>
      </c>
      <c r="J67" t="e">
        <f t="shared" si="2"/>
        <v>#N/A</v>
      </c>
      <c r="K67">
        <v>1</v>
      </c>
      <c r="L67" t="e">
        <f t="shared" si="3"/>
        <v>#N/A</v>
      </c>
      <c r="M67">
        <v>2</v>
      </c>
    </row>
    <row r="68" spans="1:13" x14ac:dyDescent="0.3">
      <c r="A68" s="11" t="str">
        <f>IFERROR(INDEX(Data!$D$2:$D$101,_xlfn.AGGREGATE(15,6,(ROW(Data!$B$2:$B$101)-ROW(Data!$B$2)+1)/(Data!$B$2:$B$101=A$9),ROWS(A$10:A68))),"")</f>
        <v/>
      </c>
      <c r="B68" s="11">
        <f>IFERROR(INDEX(Data!$D$2:$D$101,_xlfn.AGGREGATE(15,6,(ROW(Data!$B$2:$B$101)-ROW(Data!$B$2)+1)/(Data!$B$2:$B$101=B$9),ROWS(B$10:B68))),"")</f>
        <v>58.5</v>
      </c>
      <c r="J68" t="e">
        <f t="shared" si="2"/>
        <v>#N/A</v>
      </c>
      <c r="K68">
        <v>1</v>
      </c>
      <c r="L68" t="e">
        <f t="shared" si="3"/>
        <v>#N/A</v>
      </c>
      <c r="M68">
        <v>2</v>
      </c>
    </row>
    <row r="69" spans="1:13" x14ac:dyDescent="0.3">
      <c r="A69" s="12" t="str">
        <f>IFERROR(INDEX(Data!$D$2:$D$101,_xlfn.AGGREGATE(15,6,(ROW(Data!$B$2:$B$101)-ROW(Data!$B$2)+1)/(Data!$B$2:$B$101=A$9),ROWS(A$10:A69))),"")</f>
        <v/>
      </c>
      <c r="B69" s="12">
        <f>IFERROR(INDEX(Data!$D$2:$D$101,_xlfn.AGGREGATE(15,6,(ROW(Data!$B$2:$B$101)-ROW(Data!$B$2)+1)/(Data!$B$2:$B$101=B$9),ROWS(B$10:B69))),"")</f>
        <v>46</v>
      </c>
      <c r="J69" t="e">
        <f t="shared" si="2"/>
        <v>#N/A</v>
      </c>
      <c r="K69">
        <v>1</v>
      </c>
      <c r="L69" t="e">
        <f t="shared" si="3"/>
        <v>#N/A</v>
      </c>
      <c r="M69">
        <v>2</v>
      </c>
    </row>
    <row r="70" spans="1:13" x14ac:dyDescent="0.3">
      <c r="A70" s="11" t="str">
        <f>IFERROR(INDEX(Data!$D$2:$D$101,_xlfn.AGGREGATE(15,6,(ROW(Data!$B$2:$B$101)-ROW(Data!$B$2)+1)/(Data!$B$2:$B$101=A$9),ROWS(A$10:A70))),"")</f>
        <v/>
      </c>
      <c r="B70" s="11">
        <f>IFERROR(INDEX(Data!$D$2:$D$101,_xlfn.AGGREGATE(15,6,(ROW(Data!$B$2:$B$101)-ROW(Data!$B$2)+1)/(Data!$B$2:$B$101=B$9),ROWS(B$10:B70))),"")</f>
        <v>20.8</v>
      </c>
      <c r="J70" t="e">
        <f t="shared" si="2"/>
        <v>#N/A</v>
      </c>
      <c r="K70">
        <v>1</v>
      </c>
      <c r="L70" t="e">
        <f t="shared" si="3"/>
        <v>#N/A</v>
      </c>
      <c r="M70">
        <v>2</v>
      </c>
    </row>
    <row r="71" spans="1:13" x14ac:dyDescent="0.3">
      <c r="A71" s="12" t="str">
        <f>IFERROR(INDEX(Data!$D$2:$D$101,_xlfn.AGGREGATE(15,6,(ROW(Data!$B$2:$B$101)-ROW(Data!$B$2)+1)/(Data!$B$2:$B$101=A$9),ROWS(A$10:A71))),"")</f>
        <v/>
      </c>
      <c r="B71" s="12">
        <f>IFERROR(INDEX(Data!$D$2:$D$101,_xlfn.AGGREGATE(15,6,(ROW(Data!$B$2:$B$101)-ROW(Data!$B$2)+1)/(Data!$B$2:$B$101=B$9),ROWS(B$10:B71))),"")</f>
        <v>31.6</v>
      </c>
      <c r="J71" t="e">
        <f t="shared" si="2"/>
        <v>#N/A</v>
      </c>
      <c r="K71">
        <v>1</v>
      </c>
      <c r="L71" t="e">
        <f t="shared" si="3"/>
        <v>#N/A</v>
      </c>
      <c r="M71">
        <v>2</v>
      </c>
    </row>
    <row r="72" spans="1:13" x14ac:dyDescent="0.3">
      <c r="A72" s="11" t="str">
        <f>IFERROR(INDEX(Data!$D$2:$D$101,_xlfn.AGGREGATE(15,6,(ROW(Data!$B$2:$B$101)-ROW(Data!$B$2)+1)/(Data!$B$2:$B$101=A$9),ROWS(A$10:A72))),"")</f>
        <v/>
      </c>
      <c r="B72" s="11">
        <f>IFERROR(INDEX(Data!$D$2:$D$101,_xlfn.AGGREGATE(15,6,(ROW(Data!$B$2:$B$101)-ROW(Data!$B$2)+1)/(Data!$B$2:$B$101=B$9),ROWS(B$10:B72))),"")</f>
        <v>57.6</v>
      </c>
      <c r="J72" t="e">
        <f t="shared" si="2"/>
        <v>#N/A</v>
      </c>
      <c r="K72">
        <v>1</v>
      </c>
      <c r="L72" t="e">
        <f t="shared" si="3"/>
        <v>#N/A</v>
      </c>
      <c r="M72">
        <v>2</v>
      </c>
    </row>
    <row r="73" spans="1:13" x14ac:dyDescent="0.3">
      <c r="A73" s="12" t="str">
        <f>IFERROR(INDEX(Data!$D$2:$D$101,_xlfn.AGGREGATE(15,6,(ROW(Data!$B$2:$B$101)-ROW(Data!$B$2)+1)/(Data!$B$2:$B$101=A$9),ROWS(A$10:A73))),"")</f>
        <v/>
      </c>
      <c r="B73" s="12">
        <f>IFERROR(INDEX(Data!$D$2:$D$101,_xlfn.AGGREGATE(15,6,(ROW(Data!$B$2:$B$101)-ROW(Data!$B$2)+1)/(Data!$B$2:$B$101=B$9),ROWS(B$10:B73))),"")</f>
        <v>95.2</v>
      </c>
      <c r="J73" t="e">
        <f t="shared" si="2"/>
        <v>#N/A</v>
      </c>
      <c r="K73">
        <v>1</v>
      </c>
      <c r="L73" t="e">
        <f t="shared" si="3"/>
        <v>#N/A</v>
      </c>
      <c r="M73">
        <v>2</v>
      </c>
    </row>
    <row r="74" spans="1:13" x14ac:dyDescent="0.3">
      <c r="A74" s="11" t="str">
        <f>IFERROR(INDEX(Data!$D$2:$D$101,_xlfn.AGGREGATE(15,6,(ROW(Data!$B$2:$B$101)-ROW(Data!$B$2)+1)/(Data!$B$2:$B$101=A$9),ROWS(A$10:A74))),"")</f>
        <v/>
      </c>
      <c r="B74" s="11">
        <f>IFERROR(INDEX(Data!$D$2:$D$101,_xlfn.AGGREGATE(15,6,(ROW(Data!$B$2:$B$101)-ROW(Data!$B$2)+1)/(Data!$B$2:$B$101=B$9),ROWS(B$10:B74))),"")</f>
        <v>22.42</v>
      </c>
      <c r="J74" t="e">
        <f t="shared" si="2"/>
        <v>#N/A</v>
      </c>
      <c r="K74">
        <v>1</v>
      </c>
      <c r="L74" t="e">
        <f t="shared" si="3"/>
        <v>#N/A</v>
      </c>
      <c r="M74">
        <v>2</v>
      </c>
    </row>
    <row r="75" spans="1:13" x14ac:dyDescent="0.3">
      <c r="A75" s="12" t="str">
        <f>IFERROR(INDEX(Data!$D$2:$D$101,_xlfn.AGGREGATE(15,6,(ROW(Data!$B$2:$B$101)-ROW(Data!$B$2)+1)/(Data!$B$2:$B$101=A$9),ROWS(A$10:A75))),"")</f>
        <v/>
      </c>
      <c r="B75" s="12">
        <f>IFERROR(INDEX(Data!$D$2:$D$101,_xlfn.AGGREGATE(15,6,(ROW(Data!$B$2:$B$101)-ROW(Data!$B$2)+1)/(Data!$B$2:$B$101=B$9),ROWS(B$10:B75))),"")</f>
        <v>229.5</v>
      </c>
      <c r="J75" t="e">
        <f t="shared" si="2"/>
        <v>#N/A</v>
      </c>
      <c r="K75">
        <v>1</v>
      </c>
      <c r="L75" t="e">
        <f t="shared" si="3"/>
        <v>#N/A</v>
      </c>
      <c r="M75">
        <v>2</v>
      </c>
    </row>
    <row r="76" spans="1:13" x14ac:dyDescent="0.3">
      <c r="A76" s="11" t="str">
        <f>IFERROR(INDEX(Data!$D$2:$D$101,_xlfn.AGGREGATE(15,6,(ROW(Data!$B$2:$B$101)-ROW(Data!$B$2)+1)/(Data!$B$2:$B$101=A$9),ROWS(A$10:A76))),"")</f>
        <v/>
      </c>
      <c r="B76" s="11">
        <f>IFERROR(INDEX(Data!$D$2:$D$101,_xlfn.AGGREGATE(15,6,(ROW(Data!$B$2:$B$101)-ROW(Data!$B$2)+1)/(Data!$B$2:$B$101=B$9),ROWS(B$10:B76))),"")</f>
        <v>253</v>
      </c>
      <c r="J76" t="e">
        <f t="shared" si="2"/>
        <v>#N/A</v>
      </c>
      <c r="K76">
        <v>1</v>
      </c>
      <c r="L76" t="e">
        <f t="shared" si="3"/>
        <v>#N/A</v>
      </c>
      <c r="M76">
        <v>2</v>
      </c>
    </row>
    <row r="77" spans="1:13" x14ac:dyDescent="0.3">
      <c r="A77" s="12" t="str">
        <f>IFERROR(INDEX(Data!$D$2:$D$101,_xlfn.AGGREGATE(15,6,(ROW(Data!$B$2:$B$101)-ROW(Data!$B$2)+1)/(Data!$B$2:$B$101=A$9),ROWS(A$10:A77))),"")</f>
        <v/>
      </c>
      <c r="B77" s="12">
        <f>IFERROR(INDEX(Data!$D$2:$D$101,_xlfn.AGGREGATE(15,6,(ROW(Data!$B$2:$B$101)-ROW(Data!$B$2)+1)/(Data!$B$2:$B$101=B$9),ROWS(B$10:B77))),"")</f>
        <v>287.58999999999997</v>
      </c>
      <c r="J77" t="e">
        <f t="shared" si="2"/>
        <v>#N/A</v>
      </c>
      <c r="K77">
        <v>1</v>
      </c>
      <c r="L77" t="e">
        <f t="shared" si="3"/>
        <v>#N/A</v>
      </c>
      <c r="M77">
        <v>2</v>
      </c>
    </row>
    <row r="78" spans="1:13" x14ac:dyDescent="0.3">
      <c r="A78" s="11" t="str">
        <f>IFERROR(INDEX(Data!$D$2:$D$101,_xlfn.AGGREGATE(15,6,(ROW(Data!$B$2:$B$101)-ROW(Data!$B$2)+1)/(Data!$B$2:$B$101=A$9),ROWS(A$10:A78))),"")</f>
        <v/>
      </c>
      <c r="B78" s="11">
        <f>IFERROR(INDEX(Data!$D$2:$D$101,_xlfn.AGGREGATE(15,6,(ROW(Data!$B$2:$B$101)-ROW(Data!$B$2)+1)/(Data!$B$2:$B$101=B$9),ROWS(B$10:B78))),"")</f>
        <v>47.6</v>
      </c>
      <c r="J78" t="e">
        <f t="shared" si="2"/>
        <v>#N/A</v>
      </c>
      <c r="K78">
        <v>1</v>
      </c>
      <c r="L78" t="e">
        <f t="shared" si="3"/>
        <v>#N/A</v>
      </c>
      <c r="M78">
        <v>2</v>
      </c>
    </row>
    <row r="79" spans="1:13" x14ac:dyDescent="0.3">
      <c r="A79" s="12" t="str">
        <f>IFERROR(INDEX(Data!$D$2:$D$101,_xlfn.AGGREGATE(15,6,(ROW(Data!$B$2:$B$101)-ROW(Data!$B$2)+1)/(Data!$B$2:$B$101=A$9),ROWS(A$10:A79))),"")</f>
        <v/>
      </c>
      <c r="B79" s="12">
        <f>IFERROR(INDEX(Data!$D$2:$D$101,_xlfn.AGGREGATE(15,6,(ROW(Data!$B$2:$B$101)-ROW(Data!$B$2)+1)/(Data!$B$2:$B$101=B$9),ROWS(B$10:B79))),"")</f>
        <v>28.44</v>
      </c>
      <c r="J79" t="e">
        <f t="shared" si="2"/>
        <v>#N/A</v>
      </c>
      <c r="K79">
        <v>1</v>
      </c>
      <c r="L79" t="e">
        <f t="shared" si="3"/>
        <v>#N/A</v>
      </c>
      <c r="M79">
        <v>2</v>
      </c>
    </row>
    <row r="80" spans="1:13" x14ac:dyDescent="0.3">
      <c r="A80" s="4" t="str">
        <f>IFERROR(INDEX(Data!$D$2:$D$101,_xlfn.AGGREGATE(15,6,(ROW(Data!$B$2:$B$101)-ROW(Data!$B$2)+1)/(Data!$B$2:$B$101=A$9),ROWS(A$10:A80))),"")</f>
        <v/>
      </c>
      <c r="B80" s="4" t="str">
        <f>IFERROR(INDEX(Data!$D$2:$D$101,_xlfn.AGGREGATE(15,6,(ROW(Data!$B$2:$B$101)-ROW(Data!$B$2)+1)/(Data!$B$2:$B$101=B$9),ROWS(B$10:B80))),"")</f>
        <v/>
      </c>
      <c r="J80" t="e">
        <f t="shared" si="2"/>
        <v>#N/A</v>
      </c>
      <c r="K80">
        <v>1</v>
      </c>
      <c r="L80" t="e">
        <f t="shared" si="3"/>
        <v>#N/A</v>
      </c>
      <c r="M80">
        <v>2</v>
      </c>
    </row>
    <row r="81" spans="1:13" x14ac:dyDescent="0.3">
      <c r="A81" s="4" t="str">
        <f>IFERROR(INDEX(Data!$D$2:$D$101,_xlfn.AGGREGATE(15,6,(ROW(Data!$B$2:$B$101)-ROW(Data!$B$2)+1)/(Data!$B$2:$B$101=A$9),ROWS(A$10:A81))),"")</f>
        <v/>
      </c>
      <c r="B81" s="4" t="str">
        <f>IFERROR(INDEX(Data!$D$2:$D$101,_xlfn.AGGREGATE(15,6,(ROW(Data!$B$2:$B$101)-ROW(Data!$B$2)+1)/(Data!$B$2:$B$101=B$9),ROWS(B$10:B81))),"")</f>
        <v/>
      </c>
      <c r="J81" t="e">
        <f t="shared" si="2"/>
        <v>#N/A</v>
      </c>
      <c r="K81">
        <v>1</v>
      </c>
      <c r="L81" t="e">
        <f t="shared" si="3"/>
        <v>#N/A</v>
      </c>
      <c r="M81">
        <v>2</v>
      </c>
    </row>
    <row r="82" spans="1:13" x14ac:dyDescent="0.3">
      <c r="A82" s="4" t="str">
        <f>IFERROR(INDEX(Data!$D$2:$D$101,_xlfn.AGGREGATE(15,6,(ROW(Data!$B$2:$B$101)-ROW(Data!$B$2)+1)/(Data!$B$2:$B$101=A$9),ROWS(A$10:A82))),"")</f>
        <v/>
      </c>
      <c r="B82" s="4" t="str">
        <f>IFERROR(INDEX(Data!$D$2:$D$101,_xlfn.AGGREGATE(15,6,(ROW(Data!$B$2:$B$101)-ROW(Data!$B$2)+1)/(Data!$B$2:$B$101=B$9),ROWS(B$10:B82))),"")</f>
        <v/>
      </c>
      <c r="J82" t="e">
        <f t="shared" si="2"/>
        <v>#N/A</v>
      </c>
      <c r="K82">
        <v>1</v>
      </c>
      <c r="L82" t="e">
        <f t="shared" si="3"/>
        <v>#N/A</v>
      </c>
      <c r="M82">
        <v>2</v>
      </c>
    </row>
    <row r="83" spans="1:13" ht="18" customHeight="1" x14ac:dyDescent="0.3">
      <c r="A83" s="4" t="str">
        <f>IFERROR(INDEX(Data!$D$2:$D$101,_xlfn.AGGREGATE(15,6,(ROW(Data!$B$2:$B$101)-ROW(Data!$B$2)+1)/(Data!$B$2:$B$101=A$9),ROWS(A$10:A83))),"")</f>
        <v/>
      </c>
      <c r="B83" s="4" t="str">
        <f>IFERROR(INDEX(Data!$D$2:$D$101,_xlfn.AGGREGATE(15,6,(ROW(Data!$B$2:$B$101)-ROW(Data!$B$2)+1)/(Data!$B$2:$B$101=B$9),ROWS(B$10:B83))),"")</f>
        <v/>
      </c>
      <c r="J83" t="e">
        <f t="shared" si="2"/>
        <v>#N/A</v>
      </c>
      <c r="K83">
        <v>1</v>
      </c>
      <c r="L83" t="e">
        <f t="shared" si="3"/>
        <v>#N/A</v>
      </c>
      <c r="M83">
        <v>2</v>
      </c>
    </row>
    <row r="84" spans="1:13" ht="18" customHeight="1" x14ac:dyDescent="0.3">
      <c r="A84" s="4" t="str">
        <f>IFERROR(INDEX(Data!$D$2:$D$101,_xlfn.AGGREGATE(15,6,(ROW(Data!$B$2:$B$101)-ROW(Data!$B$2)+1)/(Data!$B$2:$B$101=A$9),ROWS(A$10:A84))),"")</f>
        <v/>
      </c>
      <c r="B84" s="4" t="str">
        <f>IFERROR(INDEX(Data!$D$2:$D$101,_xlfn.AGGREGATE(15,6,(ROW(Data!$B$2:$B$101)-ROW(Data!$B$2)+1)/(Data!$B$2:$B$101=B$9),ROWS(B$10:B84))),"")</f>
        <v/>
      </c>
      <c r="J84" t="e">
        <f t="shared" si="2"/>
        <v>#N/A</v>
      </c>
      <c r="K84">
        <v>1</v>
      </c>
      <c r="L84" t="e">
        <f t="shared" si="3"/>
        <v>#N/A</v>
      </c>
      <c r="M84">
        <v>2</v>
      </c>
    </row>
    <row r="85" spans="1:13" ht="18" customHeight="1" x14ac:dyDescent="0.3">
      <c r="A85" s="4" t="str">
        <f>IFERROR(INDEX(Data!$D$2:$D$101,_xlfn.AGGREGATE(15,6,(ROW(Data!$B$2:$B$101)-ROW(Data!$B$2)+1)/(Data!$B$2:$B$101=A$9),ROWS(A$10:A85))),"")</f>
        <v/>
      </c>
      <c r="B85" s="4" t="str">
        <f>IFERROR(INDEX(Data!$D$2:$D$101,_xlfn.AGGREGATE(15,6,(ROW(Data!$B$2:$B$101)-ROW(Data!$B$2)+1)/(Data!$B$2:$B$101=B$9),ROWS(B$10:B85))),"")</f>
        <v/>
      </c>
      <c r="J85" t="e">
        <f t="shared" si="2"/>
        <v>#N/A</v>
      </c>
      <c r="K85">
        <v>1</v>
      </c>
      <c r="L85" t="e">
        <f t="shared" si="3"/>
        <v>#N/A</v>
      </c>
      <c r="M85">
        <v>2</v>
      </c>
    </row>
    <row r="86" spans="1:13" ht="18" customHeight="1" x14ac:dyDescent="0.3">
      <c r="A86" s="4" t="str">
        <f>IFERROR(INDEX(Data!$D$2:$D$101,_xlfn.AGGREGATE(15,6,(ROW(Data!$B$2:$B$101)-ROW(Data!$B$2)+1)/(Data!$B$2:$B$101=A$9),ROWS(A$10:A86))),"")</f>
        <v/>
      </c>
      <c r="B86" s="4" t="str">
        <f>IFERROR(INDEX(Data!$D$2:$D$101,_xlfn.AGGREGATE(15,6,(ROW(Data!$B$2:$B$101)-ROW(Data!$B$2)+1)/(Data!$B$2:$B$101=B$9),ROWS(B$10:B86))),"")</f>
        <v/>
      </c>
      <c r="J86" t="e">
        <f t="shared" si="2"/>
        <v>#N/A</v>
      </c>
      <c r="K86">
        <v>1</v>
      </c>
      <c r="L86" t="e">
        <f t="shared" si="3"/>
        <v>#N/A</v>
      </c>
      <c r="M86">
        <v>2</v>
      </c>
    </row>
    <row r="87" spans="1:13" ht="18" customHeight="1" x14ac:dyDescent="0.3">
      <c r="A87" s="4" t="str">
        <f>IFERROR(INDEX(Data!$D$2:$D$101,_xlfn.AGGREGATE(15,6,(ROW(Data!$B$2:$B$101)-ROW(Data!$B$2)+1)/(Data!$B$2:$B$101=A$9),ROWS(A$10:A87))),"")</f>
        <v/>
      </c>
      <c r="B87" s="4" t="str">
        <f>IFERROR(INDEX(Data!$D$2:$D$101,_xlfn.AGGREGATE(15,6,(ROW(Data!$B$2:$B$101)-ROW(Data!$B$2)+1)/(Data!$B$2:$B$101=B$9),ROWS(B$10:B87))),"")</f>
        <v/>
      </c>
      <c r="J87" t="e">
        <f t="shared" si="2"/>
        <v>#N/A</v>
      </c>
      <c r="K87">
        <v>1</v>
      </c>
      <c r="L87" t="e">
        <f t="shared" si="3"/>
        <v>#N/A</v>
      </c>
      <c r="M87">
        <v>2</v>
      </c>
    </row>
    <row r="88" spans="1:13" ht="18" customHeight="1" x14ac:dyDescent="0.3">
      <c r="A88" s="4" t="str">
        <f>IFERROR(INDEX(Data!$D$2:$D$101,_xlfn.AGGREGATE(15,6,(ROW(Data!$B$2:$B$101)-ROW(Data!$B$2)+1)/(Data!$B$2:$B$101=A$9),ROWS(A$10:A88))),"")</f>
        <v/>
      </c>
      <c r="B88" s="4" t="str">
        <f>IFERROR(INDEX(Data!$D$2:$D$101,_xlfn.AGGREGATE(15,6,(ROW(Data!$B$2:$B$101)-ROW(Data!$B$2)+1)/(Data!$B$2:$B$101=B$9),ROWS(B$10:B88))),"")</f>
        <v/>
      </c>
      <c r="J88" t="e">
        <f t="shared" si="2"/>
        <v>#N/A</v>
      </c>
      <c r="K88">
        <v>1</v>
      </c>
      <c r="L88" t="e">
        <f t="shared" si="3"/>
        <v>#N/A</v>
      </c>
      <c r="M88">
        <v>2</v>
      </c>
    </row>
    <row r="89" spans="1:13" ht="18" customHeight="1" x14ac:dyDescent="0.3">
      <c r="A89" s="4" t="str">
        <f>IFERROR(INDEX(Data!$D$2:$D$101,_xlfn.AGGREGATE(15,6,(ROW(Data!$B$2:$B$101)-ROW(Data!$B$2)+1)/(Data!$B$2:$B$101=A$9),ROWS(A$10:A89))),"")</f>
        <v/>
      </c>
      <c r="B89" s="4" t="str">
        <f>IFERROR(INDEX(Data!$D$2:$D$101,_xlfn.AGGREGATE(15,6,(ROW(Data!$B$2:$B$101)-ROW(Data!$B$2)+1)/(Data!$B$2:$B$101=B$9),ROWS(B$10:B89))),"")</f>
        <v/>
      </c>
      <c r="J89" t="e">
        <f t="shared" si="2"/>
        <v>#N/A</v>
      </c>
      <c r="K89">
        <v>1</v>
      </c>
      <c r="L89" t="e">
        <f t="shared" si="3"/>
        <v>#N/A</v>
      </c>
      <c r="M89">
        <v>2</v>
      </c>
    </row>
    <row r="90" spans="1:13" ht="18" customHeight="1" x14ac:dyDescent="0.3">
      <c r="A90" s="4" t="str">
        <f>IFERROR(INDEX(Data!$D$2:$D$101,_xlfn.AGGREGATE(15,6,(ROW(Data!$B$2:$B$101)-ROW(Data!$B$2)+1)/(Data!$B$2:$B$101=A$9),ROWS(A$10:A90))),"")</f>
        <v/>
      </c>
      <c r="B90" s="4" t="str">
        <f>IFERROR(INDEX(Data!$D$2:$D$101,_xlfn.AGGREGATE(15,6,(ROW(Data!$B$2:$B$101)-ROW(Data!$B$2)+1)/(Data!$B$2:$B$101=B$9),ROWS(B$10:B90))),"")</f>
        <v/>
      </c>
      <c r="J90" t="e">
        <f t="shared" si="2"/>
        <v>#N/A</v>
      </c>
      <c r="K90">
        <v>1</v>
      </c>
      <c r="L90" t="e">
        <f t="shared" si="3"/>
        <v>#N/A</v>
      </c>
      <c r="M90">
        <v>2</v>
      </c>
    </row>
    <row r="91" spans="1:13" ht="18" customHeight="1" x14ac:dyDescent="0.3">
      <c r="A91" s="4" t="str">
        <f>IFERROR(INDEX(Data!$D$2:$D$101,_xlfn.AGGREGATE(15,6,(ROW(Data!$B$2:$B$101)-ROW(Data!$B$2)+1)/(Data!$B$2:$B$101=A$9),ROWS(A$10:A91))),"")</f>
        <v/>
      </c>
      <c r="B91" s="4" t="str">
        <f>IFERROR(INDEX(Data!$D$2:$D$101,_xlfn.AGGREGATE(15,6,(ROW(Data!$B$2:$B$101)-ROW(Data!$B$2)+1)/(Data!$B$2:$B$101=B$9),ROWS(B$10:B91))),"")</f>
        <v/>
      </c>
      <c r="J91" t="e">
        <f t="shared" si="2"/>
        <v>#N/A</v>
      </c>
      <c r="K91">
        <v>1</v>
      </c>
      <c r="L91" t="e">
        <f t="shared" si="3"/>
        <v>#N/A</v>
      </c>
      <c r="M91">
        <v>2</v>
      </c>
    </row>
    <row r="92" spans="1:13" ht="18" customHeight="1" x14ac:dyDescent="0.3">
      <c r="A92" s="4" t="str">
        <f>IFERROR(INDEX(Data!$D$2:$D$101,_xlfn.AGGREGATE(15,6,(ROW(Data!$B$2:$B$101)-ROW(Data!$B$2)+1)/(Data!$B$2:$B$101=A$9),ROWS(A$10:A92))),"")</f>
        <v/>
      </c>
      <c r="B92" s="4" t="str">
        <f>IFERROR(INDEX(Data!$D$2:$D$101,_xlfn.AGGREGATE(15,6,(ROW(Data!$B$2:$B$101)-ROW(Data!$B$2)+1)/(Data!$B$2:$B$101=B$9),ROWS(B$10:B92))),"")</f>
        <v/>
      </c>
      <c r="J92" t="e">
        <f t="shared" si="2"/>
        <v>#N/A</v>
      </c>
      <c r="K92">
        <v>1</v>
      </c>
      <c r="L92" t="e">
        <f t="shared" si="3"/>
        <v>#N/A</v>
      </c>
      <c r="M92">
        <v>2</v>
      </c>
    </row>
    <row r="93" spans="1:13" ht="18" customHeight="1" x14ac:dyDescent="0.3">
      <c r="A93" s="4" t="str">
        <f>IFERROR(INDEX(Data!$D$2:$D$101,_xlfn.AGGREGATE(15,6,(ROW(Data!$B$2:$B$101)-ROW(Data!$B$2)+1)/(Data!$B$2:$B$101=A$9),ROWS(A$10:A93))),"")</f>
        <v/>
      </c>
      <c r="B93" s="4" t="str">
        <f>IFERROR(INDEX(Data!$D$2:$D$101,_xlfn.AGGREGATE(15,6,(ROW(Data!$B$2:$B$101)-ROW(Data!$B$2)+1)/(Data!$B$2:$B$101=B$9),ROWS(B$10:B93))),"")</f>
        <v/>
      </c>
      <c r="J93" t="e">
        <f t="shared" si="2"/>
        <v>#N/A</v>
      </c>
      <c r="K93">
        <v>1</v>
      </c>
      <c r="L93" t="e">
        <f t="shared" si="3"/>
        <v>#N/A</v>
      </c>
      <c r="M93">
        <v>2</v>
      </c>
    </row>
    <row r="94" spans="1:13" ht="18" customHeight="1" x14ac:dyDescent="0.3">
      <c r="A94" s="4" t="str">
        <f>IFERROR(INDEX(Data!$D$2:$D$101,_xlfn.AGGREGATE(15,6,(ROW(Data!$B$2:$B$101)-ROW(Data!$B$2)+1)/(Data!$B$2:$B$101=A$9),ROWS(A$10:A94))),"")</f>
        <v/>
      </c>
      <c r="B94" s="4" t="str">
        <f>IFERROR(INDEX(Data!$D$2:$D$101,_xlfn.AGGREGATE(15,6,(ROW(Data!$B$2:$B$101)-ROW(Data!$B$2)+1)/(Data!$B$2:$B$101=B$9),ROWS(B$10:B94))),"")</f>
        <v/>
      </c>
      <c r="J94" t="e">
        <f t="shared" si="2"/>
        <v>#N/A</v>
      </c>
      <c r="K94">
        <v>1</v>
      </c>
      <c r="L94" t="e">
        <f t="shared" si="3"/>
        <v>#N/A</v>
      </c>
      <c r="M94">
        <v>2</v>
      </c>
    </row>
    <row r="95" spans="1:13" ht="18" customHeight="1" x14ac:dyDescent="0.3">
      <c r="A95" s="4" t="str">
        <f>IFERROR(INDEX(Data!$D$2:$D$101,_xlfn.AGGREGATE(15,6,(ROW(Data!$B$2:$B$101)-ROW(Data!$B$2)+1)/(Data!$B$2:$B$101=A$9),ROWS(A$10:A95))),"")</f>
        <v/>
      </c>
      <c r="B95" s="4" t="str">
        <f>IFERROR(INDEX(Data!$D$2:$D$101,_xlfn.AGGREGATE(15,6,(ROW(Data!$B$2:$B$101)-ROW(Data!$B$2)+1)/(Data!$B$2:$B$101=B$9),ROWS(B$10:B95))),"")</f>
        <v/>
      </c>
      <c r="J95" t="e">
        <f t="shared" si="2"/>
        <v>#N/A</v>
      </c>
      <c r="K95">
        <v>1</v>
      </c>
      <c r="L95" t="e">
        <f t="shared" si="3"/>
        <v>#N/A</v>
      </c>
      <c r="M95">
        <v>2</v>
      </c>
    </row>
    <row r="96" spans="1:13" ht="18" customHeight="1" x14ac:dyDescent="0.3">
      <c r="A96" s="4" t="str">
        <f>IFERROR(INDEX(Data!$D$2:$D$101,_xlfn.AGGREGATE(15,6,(ROW(Data!$B$2:$B$101)-ROW(Data!$B$2)+1)/(Data!$B$2:$B$101=A$9),ROWS(A$10:A96))),"")</f>
        <v/>
      </c>
      <c r="B96" s="4" t="str">
        <f>IFERROR(INDEX(Data!$D$2:$D$101,_xlfn.AGGREGATE(15,6,(ROW(Data!$B$2:$B$101)-ROW(Data!$B$2)+1)/(Data!$B$2:$B$101=B$9),ROWS(B$10:B96))),"")</f>
        <v/>
      </c>
      <c r="J96" t="e">
        <f t="shared" si="2"/>
        <v>#N/A</v>
      </c>
      <c r="K96">
        <v>1</v>
      </c>
      <c r="L96" t="e">
        <f t="shared" si="3"/>
        <v>#N/A</v>
      </c>
      <c r="M96">
        <v>2</v>
      </c>
    </row>
    <row r="97" spans="1:13" ht="18" customHeight="1" x14ac:dyDescent="0.3">
      <c r="A97" s="4" t="str">
        <f>IFERROR(INDEX(Data!$D$2:$D$101,_xlfn.AGGREGATE(15,6,(ROW(Data!$B$2:$B$101)-ROW(Data!$B$2)+1)/(Data!$B$2:$B$101=A$9),ROWS(A$10:A97))),"")</f>
        <v/>
      </c>
      <c r="B97" s="4" t="str">
        <f>IFERROR(INDEX(Data!$D$2:$D$101,_xlfn.AGGREGATE(15,6,(ROW(Data!$B$2:$B$101)-ROW(Data!$B$2)+1)/(Data!$B$2:$B$101=B$9),ROWS(B$10:B97))),"")</f>
        <v/>
      </c>
      <c r="J97" t="e">
        <f t="shared" ref="J97:J128" si="4">IF(AND(ISNUMBER(A74),OR(A74&lt;$J$4,A74&gt;$K$4)),A74,NA())</f>
        <v>#N/A</v>
      </c>
      <c r="K97">
        <v>1</v>
      </c>
      <c r="L97" t="e">
        <f t="shared" ref="L97:L128" si="5">IF(AND(ISNUMBER(B74),OR(B74&lt;$J$5,B74&gt;$K$5)),B74,NA())</f>
        <v>#N/A</v>
      </c>
      <c r="M97">
        <v>2</v>
      </c>
    </row>
    <row r="98" spans="1:13" ht="18" customHeight="1" x14ac:dyDescent="0.3">
      <c r="A98" s="4" t="str">
        <f>IFERROR(INDEX(Data!$D$2:$D$101,_xlfn.AGGREGATE(15,6,(ROW(Data!$B$2:$B$101)-ROW(Data!$B$2)+1)/(Data!$B$2:$B$101=A$9),ROWS(A$10:A98))),"")</f>
        <v/>
      </c>
      <c r="B98" s="4" t="str">
        <f>IFERROR(INDEX(Data!$D$2:$D$101,_xlfn.AGGREGATE(15,6,(ROW(Data!$B$2:$B$101)-ROW(Data!$B$2)+1)/(Data!$B$2:$B$101=B$9),ROWS(B$10:B98))),"")</f>
        <v/>
      </c>
      <c r="J98" t="e">
        <f t="shared" si="4"/>
        <v>#N/A</v>
      </c>
      <c r="K98">
        <v>1</v>
      </c>
      <c r="L98">
        <f t="shared" si="5"/>
        <v>229.5</v>
      </c>
      <c r="M98">
        <v>2</v>
      </c>
    </row>
    <row r="99" spans="1:13" ht="18" customHeight="1" x14ac:dyDescent="0.3">
      <c r="A99" s="4" t="str">
        <f>IFERROR(INDEX(Data!$D$2:$D$101,_xlfn.AGGREGATE(15,6,(ROW(Data!$B$2:$B$101)-ROW(Data!$B$2)+1)/(Data!$B$2:$B$101=A$9),ROWS(A$10:A99))),"")</f>
        <v/>
      </c>
      <c r="B99" s="4" t="str">
        <f>IFERROR(INDEX(Data!$D$2:$D$101,_xlfn.AGGREGATE(15,6,(ROW(Data!$B$2:$B$101)-ROW(Data!$B$2)+1)/(Data!$B$2:$B$101=B$9),ROWS(B$10:B99))),"")</f>
        <v/>
      </c>
      <c r="J99" t="e">
        <f t="shared" si="4"/>
        <v>#N/A</v>
      </c>
      <c r="K99">
        <v>1</v>
      </c>
      <c r="L99">
        <f t="shared" si="5"/>
        <v>253</v>
      </c>
      <c r="M99">
        <v>2</v>
      </c>
    </row>
    <row r="100" spans="1:13" ht="18" customHeight="1" x14ac:dyDescent="0.3">
      <c r="A100" s="4" t="str">
        <f>IFERROR(INDEX(Data!$D$2:$D$101,_xlfn.AGGREGATE(15,6,(ROW(Data!$B$2:$B$101)-ROW(Data!$B$2)+1)/(Data!$B$2:$B$101=A$9),ROWS(A$10:A100))),"")</f>
        <v/>
      </c>
      <c r="B100" s="4" t="str">
        <f>IFERROR(INDEX(Data!$D$2:$D$101,_xlfn.AGGREGATE(15,6,(ROW(Data!$B$2:$B$101)-ROW(Data!$B$2)+1)/(Data!$B$2:$B$101=B$9),ROWS(B$10:B100))),"")</f>
        <v/>
      </c>
      <c r="J100" t="e">
        <f t="shared" si="4"/>
        <v>#N/A</v>
      </c>
      <c r="K100">
        <v>1</v>
      </c>
      <c r="L100">
        <f t="shared" si="5"/>
        <v>287.58999999999997</v>
      </c>
      <c r="M100">
        <v>2</v>
      </c>
    </row>
    <row r="101" spans="1:13" ht="18" customHeight="1" x14ac:dyDescent="0.3">
      <c r="A101" s="4" t="str">
        <f>IFERROR(INDEX(Data!$D$2:$D$101,_xlfn.AGGREGATE(15,6,(ROW(Data!$B$2:$B$101)-ROW(Data!$B$2)+1)/(Data!$B$2:$B$101=A$9),ROWS(A$10:A101))),"")</f>
        <v/>
      </c>
      <c r="B101" s="4" t="str">
        <f>IFERROR(INDEX(Data!$D$2:$D$101,_xlfn.AGGREGATE(15,6,(ROW(Data!$B$2:$B$101)-ROW(Data!$B$2)+1)/(Data!$B$2:$B$101=B$9),ROWS(B$10:B101))),"")</f>
        <v/>
      </c>
      <c r="J101" t="e">
        <f t="shared" si="4"/>
        <v>#N/A</v>
      </c>
      <c r="K101">
        <v>1</v>
      </c>
      <c r="L101" t="e">
        <f t="shared" si="5"/>
        <v>#N/A</v>
      </c>
      <c r="M101">
        <v>2</v>
      </c>
    </row>
    <row r="102" spans="1:13" ht="18" customHeight="1" x14ac:dyDescent="0.3">
      <c r="A102" s="4" t="str">
        <f>IFERROR(INDEX(Data!$D$2:$D$101,_xlfn.AGGREGATE(15,6,(ROW(Data!$B$2:$B$101)-ROW(Data!$B$2)+1)/(Data!$B$2:$B$101=A$9),ROWS(A$10:A102))),"")</f>
        <v/>
      </c>
      <c r="B102" s="4" t="str">
        <f>IFERROR(INDEX(Data!$D$2:$D$101,_xlfn.AGGREGATE(15,6,(ROW(Data!$B$2:$B$101)-ROW(Data!$B$2)+1)/(Data!$B$2:$B$101=B$9),ROWS(B$10:B102))),"")</f>
        <v/>
      </c>
      <c r="J102" t="e">
        <f t="shared" si="4"/>
        <v>#N/A</v>
      </c>
      <c r="K102">
        <v>1</v>
      </c>
      <c r="L102" t="e">
        <f t="shared" si="5"/>
        <v>#N/A</v>
      </c>
      <c r="M102">
        <v>2</v>
      </c>
    </row>
    <row r="103" spans="1:13" ht="18" customHeight="1" x14ac:dyDescent="0.3">
      <c r="A103" s="4" t="str">
        <f>IFERROR(INDEX(Data!$D$2:$D$101,_xlfn.AGGREGATE(15,6,(ROW(Data!$B$2:$B$101)-ROW(Data!$B$2)+1)/(Data!$B$2:$B$101=A$9),ROWS(A$10:A103))),"")</f>
        <v/>
      </c>
      <c r="B103" s="4" t="str">
        <f>IFERROR(INDEX(Data!$D$2:$D$101,_xlfn.AGGREGATE(15,6,(ROW(Data!$B$2:$B$101)-ROW(Data!$B$2)+1)/(Data!$B$2:$B$101=B$9),ROWS(B$10:B103))),"")</f>
        <v/>
      </c>
      <c r="J103" t="e">
        <f t="shared" si="4"/>
        <v>#N/A</v>
      </c>
      <c r="K103">
        <v>1</v>
      </c>
      <c r="L103" t="e">
        <f t="shared" si="5"/>
        <v>#N/A</v>
      </c>
      <c r="M103">
        <v>2</v>
      </c>
    </row>
    <row r="104" spans="1:13" ht="18" customHeight="1" x14ac:dyDescent="0.3">
      <c r="A104" s="4" t="str">
        <f>IFERROR(INDEX(Data!$D$2:$D$101,_xlfn.AGGREGATE(15,6,(ROW(Data!$B$2:$B$101)-ROW(Data!$B$2)+1)/(Data!$B$2:$B$101=A$9),ROWS(A$10:A104))),"")</f>
        <v/>
      </c>
      <c r="B104" s="4" t="str">
        <f>IFERROR(INDEX(Data!$D$2:$D$101,_xlfn.AGGREGATE(15,6,(ROW(Data!$B$2:$B$101)-ROW(Data!$B$2)+1)/(Data!$B$2:$B$101=B$9),ROWS(B$10:B104))),"")</f>
        <v/>
      </c>
      <c r="J104" t="e">
        <f t="shared" si="4"/>
        <v>#N/A</v>
      </c>
      <c r="K104">
        <v>1</v>
      </c>
      <c r="L104" t="e">
        <f t="shared" si="5"/>
        <v>#N/A</v>
      </c>
      <c r="M104">
        <v>2</v>
      </c>
    </row>
    <row r="105" spans="1:13" ht="18" customHeight="1" x14ac:dyDescent="0.3">
      <c r="A105" s="4" t="str">
        <f>IFERROR(INDEX(Data!$D$2:$D$101,_xlfn.AGGREGATE(15,6,(ROW(Data!$B$2:$B$101)-ROW(Data!$B$2)+1)/(Data!$B$2:$B$101=A$9),ROWS(A$10:A105))),"")</f>
        <v/>
      </c>
      <c r="B105" s="4" t="str">
        <f>IFERROR(INDEX(Data!$D$2:$D$101,_xlfn.AGGREGATE(15,6,(ROW(Data!$B$2:$B$101)-ROW(Data!$B$2)+1)/(Data!$B$2:$B$101=B$9),ROWS(B$10:B105))),"")</f>
        <v/>
      </c>
      <c r="J105" t="e">
        <f t="shared" si="4"/>
        <v>#N/A</v>
      </c>
      <c r="K105">
        <v>1</v>
      </c>
      <c r="L105" t="e">
        <f t="shared" si="5"/>
        <v>#N/A</v>
      </c>
      <c r="M105">
        <v>2</v>
      </c>
    </row>
    <row r="106" spans="1:13" ht="18" customHeight="1" x14ac:dyDescent="0.3">
      <c r="A106" s="4" t="str">
        <f>IFERROR(INDEX(Data!$D$2:$D$101,_xlfn.AGGREGATE(15,6,(ROW(Data!$B$2:$B$101)-ROW(Data!$B$2)+1)/(Data!$B$2:$B$101=A$9),ROWS(A$10:A106))),"")</f>
        <v/>
      </c>
      <c r="B106" s="4" t="str">
        <f>IFERROR(INDEX(Data!$D$2:$D$101,_xlfn.AGGREGATE(15,6,(ROW(Data!$B$2:$B$101)-ROW(Data!$B$2)+1)/(Data!$B$2:$B$101=B$9),ROWS(B$10:B106))),"")</f>
        <v/>
      </c>
      <c r="J106" t="e">
        <f t="shared" si="4"/>
        <v>#N/A</v>
      </c>
      <c r="K106">
        <v>1</v>
      </c>
      <c r="L106" t="e">
        <f t="shared" si="5"/>
        <v>#N/A</v>
      </c>
      <c r="M106">
        <v>2</v>
      </c>
    </row>
    <row r="107" spans="1:13" ht="18" customHeight="1" x14ac:dyDescent="0.3">
      <c r="A107" s="4" t="str">
        <f>IFERROR(INDEX(Data!$D$2:$D$101,_xlfn.AGGREGATE(15,6,(ROW(Data!$B$2:$B$101)-ROW(Data!$B$2)+1)/(Data!$B$2:$B$101=A$9),ROWS(A$10:A107))),"")</f>
        <v/>
      </c>
      <c r="B107" s="4" t="str">
        <f>IFERROR(INDEX(Data!$D$2:$D$101,_xlfn.AGGREGATE(15,6,(ROW(Data!$B$2:$B$101)-ROW(Data!$B$2)+1)/(Data!$B$2:$B$101=B$9),ROWS(B$10:B107))),"")</f>
        <v/>
      </c>
      <c r="J107" t="e">
        <f t="shared" si="4"/>
        <v>#N/A</v>
      </c>
      <c r="K107">
        <v>1</v>
      </c>
      <c r="L107" t="e">
        <f t="shared" si="5"/>
        <v>#N/A</v>
      </c>
      <c r="M107">
        <v>2</v>
      </c>
    </row>
    <row r="108" spans="1:13" ht="18" customHeight="1" x14ac:dyDescent="0.3">
      <c r="A108" s="4" t="str">
        <f>IFERROR(INDEX(Data!$D$2:$D$101,_xlfn.AGGREGATE(15,6,(ROW(Data!$B$2:$B$101)-ROW(Data!$B$2)+1)/(Data!$B$2:$B$101=A$9),ROWS(A$10:A108))),"")</f>
        <v/>
      </c>
      <c r="B108" s="4" t="str">
        <f>IFERROR(INDEX(Data!$D$2:$D$101,_xlfn.AGGREGATE(15,6,(ROW(Data!$B$2:$B$101)-ROW(Data!$B$2)+1)/(Data!$B$2:$B$101=B$9),ROWS(B$10:B108))),"")</f>
        <v/>
      </c>
      <c r="J108" t="e">
        <f t="shared" si="4"/>
        <v>#N/A</v>
      </c>
      <c r="K108">
        <v>1</v>
      </c>
      <c r="L108" t="e">
        <f t="shared" si="5"/>
        <v>#N/A</v>
      </c>
      <c r="M108">
        <v>2</v>
      </c>
    </row>
    <row r="109" spans="1:13" ht="18" customHeight="1" x14ac:dyDescent="0.3">
      <c r="A109" s="4" t="str">
        <f>IFERROR(INDEX(Data!$D$2:$D$101,_xlfn.AGGREGATE(15,6,(ROW(Data!$B$2:$B$101)-ROW(Data!$B$2)+1)/(Data!$B$2:$B$101=A$9),ROWS(A$10:A109))),"")</f>
        <v/>
      </c>
      <c r="B109" s="4" t="str">
        <f>IFERROR(INDEX(Data!$D$2:$D$101,_xlfn.AGGREGATE(15,6,(ROW(Data!$B$2:$B$101)-ROW(Data!$B$2)+1)/(Data!$B$2:$B$101=B$9),ROWS(B$10:B109))),"")</f>
        <v/>
      </c>
      <c r="J109" t="e">
        <f t="shared" si="4"/>
        <v>#N/A</v>
      </c>
      <c r="K109">
        <v>1</v>
      </c>
      <c r="L109" t="e">
        <f t="shared" si="5"/>
        <v>#N/A</v>
      </c>
      <c r="M109">
        <v>2</v>
      </c>
    </row>
    <row r="110" spans="1:13" x14ac:dyDescent="0.3">
      <c r="J110" t="e">
        <f t="shared" si="4"/>
        <v>#N/A</v>
      </c>
      <c r="K110">
        <v>1</v>
      </c>
      <c r="L110" t="e">
        <f t="shared" si="5"/>
        <v>#N/A</v>
      </c>
      <c r="M110">
        <v>2</v>
      </c>
    </row>
    <row r="111" spans="1:13" x14ac:dyDescent="0.3">
      <c r="J111" t="e">
        <f t="shared" si="4"/>
        <v>#N/A</v>
      </c>
      <c r="K111">
        <v>1</v>
      </c>
      <c r="L111" t="e">
        <f t="shared" si="5"/>
        <v>#N/A</v>
      </c>
      <c r="M111">
        <v>2</v>
      </c>
    </row>
    <row r="112" spans="1:13" x14ac:dyDescent="0.3">
      <c r="J112" t="e">
        <f t="shared" si="4"/>
        <v>#N/A</v>
      </c>
      <c r="K112">
        <v>1</v>
      </c>
      <c r="L112" t="e">
        <f t="shared" si="5"/>
        <v>#N/A</v>
      </c>
      <c r="M112">
        <v>2</v>
      </c>
    </row>
    <row r="113" spans="10:13" x14ac:dyDescent="0.3">
      <c r="J113" t="e">
        <f t="shared" si="4"/>
        <v>#N/A</v>
      </c>
      <c r="K113">
        <v>1</v>
      </c>
      <c r="L113" t="e">
        <f t="shared" si="5"/>
        <v>#N/A</v>
      </c>
      <c r="M113">
        <v>2</v>
      </c>
    </row>
    <row r="114" spans="10:13" x14ac:dyDescent="0.3">
      <c r="J114" t="e">
        <f t="shared" si="4"/>
        <v>#N/A</v>
      </c>
      <c r="K114">
        <v>1</v>
      </c>
      <c r="L114" t="e">
        <f t="shared" si="5"/>
        <v>#N/A</v>
      </c>
      <c r="M114">
        <v>2</v>
      </c>
    </row>
    <row r="115" spans="10:13" x14ac:dyDescent="0.3">
      <c r="J115" t="e">
        <f t="shared" si="4"/>
        <v>#N/A</v>
      </c>
      <c r="K115">
        <v>1</v>
      </c>
      <c r="L115" t="e">
        <f t="shared" si="5"/>
        <v>#N/A</v>
      </c>
      <c r="M115">
        <v>2</v>
      </c>
    </row>
    <row r="116" spans="10:13" x14ac:dyDescent="0.3">
      <c r="J116" t="e">
        <f t="shared" si="4"/>
        <v>#N/A</v>
      </c>
      <c r="K116">
        <v>1</v>
      </c>
      <c r="L116" t="e">
        <f t="shared" si="5"/>
        <v>#N/A</v>
      </c>
      <c r="M116">
        <v>2</v>
      </c>
    </row>
    <row r="117" spans="10:13" x14ac:dyDescent="0.3">
      <c r="J117" t="e">
        <f t="shared" si="4"/>
        <v>#N/A</v>
      </c>
      <c r="K117">
        <v>1</v>
      </c>
      <c r="L117" t="e">
        <f t="shared" si="5"/>
        <v>#N/A</v>
      </c>
      <c r="M117">
        <v>2</v>
      </c>
    </row>
    <row r="118" spans="10:13" x14ac:dyDescent="0.3">
      <c r="J118" t="e">
        <f t="shared" si="4"/>
        <v>#N/A</v>
      </c>
      <c r="K118">
        <v>1</v>
      </c>
      <c r="L118" t="e">
        <f t="shared" si="5"/>
        <v>#N/A</v>
      </c>
      <c r="M118">
        <v>2</v>
      </c>
    </row>
    <row r="119" spans="10:13" x14ac:dyDescent="0.3">
      <c r="J119" t="e">
        <f t="shared" si="4"/>
        <v>#N/A</v>
      </c>
      <c r="K119">
        <v>1</v>
      </c>
      <c r="L119" t="e">
        <f t="shared" si="5"/>
        <v>#N/A</v>
      </c>
      <c r="M119">
        <v>2</v>
      </c>
    </row>
    <row r="120" spans="10:13" x14ac:dyDescent="0.3">
      <c r="J120" t="e">
        <f t="shared" si="4"/>
        <v>#N/A</v>
      </c>
      <c r="K120">
        <v>1</v>
      </c>
      <c r="L120" t="e">
        <f t="shared" si="5"/>
        <v>#N/A</v>
      </c>
      <c r="M120">
        <v>2</v>
      </c>
    </row>
    <row r="121" spans="10:13" x14ac:dyDescent="0.3">
      <c r="J121" t="e">
        <f t="shared" si="4"/>
        <v>#N/A</v>
      </c>
      <c r="K121">
        <v>1</v>
      </c>
      <c r="L121" t="e">
        <f t="shared" si="5"/>
        <v>#N/A</v>
      </c>
      <c r="M121">
        <v>2</v>
      </c>
    </row>
    <row r="122" spans="10:13" x14ac:dyDescent="0.3">
      <c r="J122" t="e">
        <f t="shared" si="4"/>
        <v>#N/A</v>
      </c>
      <c r="K122">
        <v>1</v>
      </c>
      <c r="L122" t="e">
        <f t="shared" si="5"/>
        <v>#N/A</v>
      </c>
      <c r="M122">
        <v>2</v>
      </c>
    </row>
    <row r="123" spans="10:13" x14ac:dyDescent="0.3">
      <c r="J123" t="e">
        <f t="shared" si="4"/>
        <v>#N/A</v>
      </c>
      <c r="K123">
        <v>1</v>
      </c>
      <c r="L123" t="e">
        <f t="shared" si="5"/>
        <v>#N/A</v>
      </c>
      <c r="M123">
        <v>2</v>
      </c>
    </row>
    <row r="124" spans="10:13" x14ac:dyDescent="0.3">
      <c r="J124" t="e">
        <f t="shared" si="4"/>
        <v>#N/A</v>
      </c>
      <c r="K124">
        <v>1</v>
      </c>
      <c r="L124" t="e">
        <f t="shared" si="5"/>
        <v>#N/A</v>
      </c>
      <c r="M124">
        <v>2</v>
      </c>
    </row>
    <row r="125" spans="10:13" x14ac:dyDescent="0.3">
      <c r="J125" t="e">
        <f t="shared" si="4"/>
        <v>#N/A</v>
      </c>
      <c r="K125">
        <v>1</v>
      </c>
      <c r="L125" t="e">
        <f t="shared" si="5"/>
        <v>#N/A</v>
      </c>
      <c r="M125">
        <v>2</v>
      </c>
    </row>
    <row r="126" spans="10:13" x14ac:dyDescent="0.3">
      <c r="J126" t="e">
        <f t="shared" si="4"/>
        <v>#N/A</v>
      </c>
      <c r="K126">
        <v>1</v>
      </c>
      <c r="L126" t="e">
        <f t="shared" si="5"/>
        <v>#N/A</v>
      </c>
      <c r="M126">
        <v>2</v>
      </c>
    </row>
    <row r="127" spans="10:13" x14ac:dyDescent="0.3">
      <c r="J127" t="e">
        <f t="shared" si="4"/>
        <v>#N/A</v>
      </c>
      <c r="K127">
        <v>1</v>
      </c>
      <c r="L127" t="e">
        <f t="shared" si="5"/>
        <v>#N/A</v>
      </c>
      <c r="M127">
        <v>2</v>
      </c>
    </row>
    <row r="128" spans="10:13" x14ac:dyDescent="0.3">
      <c r="J128" t="e">
        <f t="shared" si="4"/>
        <v>#N/A</v>
      </c>
      <c r="K128">
        <v>1</v>
      </c>
      <c r="L128" t="e">
        <f t="shared" si="5"/>
        <v>#N/A</v>
      </c>
      <c r="M128">
        <v>2</v>
      </c>
    </row>
    <row r="129" spans="1:13" x14ac:dyDescent="0.3">
      <c r="J129" t="e">
        <f t="shared" ref="J129:J160" si="6">IF(AND(ISNUMBER(A106),OR(A106&lt;$J$4,A106&gt;$K$4)),A106,NA())</f>
        <v>#N/A</v>
      </c>
      <c r="K129">
        <v>1</v>
      </c>
      <c r="L129" t="e">
        <f t="shared" ref="L129:L160" si="7">IF(AND(ISNUMBER(B106),OR(B106&lt;$J$5,B106&gt;$K$5)),B106,NA())</f>
        <v>#N/A</v>
      </c>
      <c r="M129">
        <v>2</v>
      </c>
    </row>
    <row r="130" spans="1:13" x14ac:dyDescent="0.3">
      <c r="J130" t="e">
        <f t="shared" si="6"/>
        <v>#N/A</v>
      </c>
      <c r="K130">
        <v>1</v>
      </c>
      <c r="L130" t="e">
        <f t="shared" si="7"/>
        <v>#N/A</v>
      </c>
      <c r="M130">
        <v>2</v>
      </c>
    </row>
    <row r="131" spans="1:13" x14ac:dyDescent="0.3">
      <c r="J131" t="e">
        <f t="shared" si="6"/>
        <v>#N/A</v>
      </c>
      <c r="K131">
        <v>1</v>
      </c>
      <c r="L131" t="e">
        <f t="shared" si="7"/>
        <v>#N/A</v>
      </c>
      <c r="M131">
        <v>2</v>
      </c>
    </row>
    <row r="132" spans="1:13" x14ac:dyDescent="0.3">
      <c r="J132" t="e">
        <f t="shared" si="6"/>
        <v>#N/A</v>
      </c>
      <c r="K132">
        <v>1</v>
      </c>
      <c r="L132" t="e">
        <f t="shared" si="7"/>
        <v>#N/A</v>
      </c>
      <c r="M132">
        <v>2</v>
      </c>
    </row>
    <row r="136" spans="1:13" ht="25.05" customHeight="1" x14ac:dyDescent="0.3">
      <c r="A136" s="28" t="s">
        <v>28</v>
      </c>
      <c r="B136" s="25"/>
      <c r="C136" s="25"/>
      <c r="D136" s="25"/>
      <c r="E136" s="25"/>
      <c r="F136" s="25"/>
      <c r="G136" s="25"/>
      <c r="H136" s="25"/>
    </row>
    <row r="137" spans="1:13" ht="42" customHeight="1" x14ac:dyDescent="0.3">
      <c r="A137" s="27" t="s">
        <v>98</v>
      </c>
      <c r="B137" s="25"/>
      <c r="C137" s="25"/>
      <c r="D137" s="25"/>
      <c r="E137" s="25"/>
      <c r="F137" s="25"/>
      <c r="G137" s="25"/>
      <c r="H137" s="25"/>
    </row>
    <row r="138" spans="1:13" ht="42" customHeight="1" x14ac:dyDescent="0.3">
      <c r="A138" s="27" t="s">
        <v>99</v>
      </c>
      <c r="B138" s="25"/>
      <c r="C138" s="25"/>
      <c r="D138" s="25"/>
      <c r="E138" s="25"/>
      <c r="F138" s="25"/>
      <c r="G138" s="25"/>
      <c r="H138" s="25"/>
    </row>
    <row r="139" spans="1:13" ht="42" customHeight="1" x14ac:dyDescent="0.3">
      <c r="A139" s="27" t="s">
        <v>100</v>
      </c>
      <c r="B139" s="25"/>
      <c r="C139" s="25"/>
      <c r="D139" s="25"/>
      <c r="E139" s="25"/>
      <c r="F139" s="25"/>
      <c r="G139" s="25"/>
      <c r="H139" s="25"/>
    </row>
    <row r="140" spans="1:13" ht="42" customHeight="1" x14ac:dyDescent="0.3">
      <c r="A140" s="27" t="s">
        <v>101</v>
      </c>
      <c r="B140" s="25"/>
      <c r="C140" s="25"/>
      <c r="D140" s="25"/>
      <c r="E140" s="25"/>
      <c r="F140" s="25"/>
      <c r="G140" s="25"/>
      <c r="H140" s="25"/>
    </row>
    <row r="141" spans="1:13" ht="42" customHeight="1" x14ac:dyDescent="0.3">
      <c r="A141" s="27" t="s">
        <v>102</v>
      </c>
      <c r="B141" s="25"/>
      <c r="C141" s="25"/>
      <c r="D141" s="25"/>
      <c r="E141" s="25"/>
      <c r="F141" s="25"/>
      <c r="G141" s="25"/>
      <c r="H141" s="25"/>
    </row>
    <row r="142" spans="1:13" ht="42" customHeight="1" x14ac:dyDescent="0.3">
      <c r="A142" s="27" t="s">
        <v>103</v>
      </c>
      <c r="B142" s="25"/>
      <c r="C142" s="25"/>
      <c r="D142" s="25"/>
      <c r="E142" s="25"/>
      <c r="F142" s="25"/>
      <c r="G142" s="25"/>
      <c r="H142" s="25"/>
    </row>
  </sheetData>
  <mergeCells count="8">
    <mergeCell ref="A142:H142"/>
    <mergeCell ref="A138:H138"/>
    <mergeCell ref="A141:H141"/>
    <mergeCell ref="A1:J1"/>
    <mergeCell ref="A136:H136"/>
    <mergeCell ref="A139:H139"/>
    <mergeCell ref="A140:H140"/>
    <mergeCell ref="A137:H137"/>
  </mergeCells>
  <pageMargins left="0.75" right="0.75" top="1" bottom="1" header="0.5" footer="0.5"/>
  <pageSetup paperSize="9" scale="9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9E89"/>
    <pageSetUpPr fitToPage="1"/>
  </sheetPr>
  <dimension ref="A1:J118"/>
  <sheetViews>
    <sheetView showGridLines="0" workbookViewId="0">
      <pane ySplit="8" topLeftCell="A21" activePane="bottomLeft" state="frozen"/>
      <selection pane="bottomLeft" sqref="A1:J1"/>
    </sheetView>
  </sheetViews>
  <sheetFormatPr defaultRowHeight="15.6" x14ac:dyDescent="0.3"/>
  <cols>
    <col min="1" max="1" width="24" customWidth="1"/>
    <col min="2" max="2" width="17" customWidth="1"/>
    <col min="3" max="3" width="3" customWidth="1"/>
    <col min="4" max="10" width="13" customWidth="1"/>
  </cols>
  <sheetData>
    <row r="1" spans="1:10" ht="30" customHeight="1" x14ac:dyDescent="0.3">
      <c r="A1" s="24" t="s">
        <v>104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x14ac:dyDescent="0.3">
      <c r="A3" s="15" t="s">
        <v>105</v>
      </c>
      <c r="B3" s="14">
        <f>_xlfn.COVARIANCE.S(Data!$C$2:$C$101,Data!$D$2:$D$101)</f>
        <v>115.00089898989896</v>
      </c>
    </row>
    <row r="4" spans="1:10" x14ac:dyDescent="0.3">
      <c r="A4" s="15" t="s">
        <v>106</v>
      </c>
      <c r="B4" s="14">
        <f>CORREL(Data!$C$2:$C$101,Data!$D$2:$D$101)</f>
        <v>0.7550593907295482</v>
      </c>
    </row>
    <row r="5" spans="1:10" x14ac:dyDescent="0.3">
      <c r="A5" s="15" t="s">
        <v>107</v>
      </c>
      <c r="B5" s="14">
        <f>SLOPE(Data!$D$2:$D$101,Data!$C$2:$C$101)</f>
        <v>15.361175724539892</v>
      </c>
    </row>
    <row r="6" spans="1:10" x14ac:dyDescent="0.3">
      <c r="A6" s="15" t="s">
        <v>108</v>
      </c>
      <c r="B6" s="14">
        <f>INTERCEPT(Data!$D$2:$D$101,Data!$C$2:$C$101)</f>
        <v>28.137514166981568</v>
      </c>
    </row>
    <row r="9" spans="1:10" x14ac:dyDescent="0.3">
      <c r="A9" s="6" t="s">
        <v>2</v>
      </c>
      <c r="B9" s="6" t="s">
        <v>21</v>
      </c>
    </row>
    <row r="10" spans="1:10" x14ac:dyDescent="0.3">
      <c r="A10" s="7">
        <f>Data!C2</f>
        <v>1</v>
      </c>
      <c r="B10" s="8">
        <f>Data!D2</f>
        <v>39.5</v>
      </c>
    </row>
    <row r="11" spans="1:10" x14ac:dyDescent="0.3">
      <c r="A11" s="9">
        <f>Data!C3</f>
        <v>1</v>
      </c>
      <c r="B11" s="10">
        <f>Data!D3</f>
        <v>102.4</v>
      </c>
    </row>
    <row r="12" spans="1:10" x14ac:dyDescent="0.3">
      <c r="A12" s="7">
        <f>Data!C4</f>
        <v>1</v>
      </c>
      <c r="B12" s="8">
        <f>Data!D4</f>
        <v>22.5</v>
      </c>
    </row>
    <row r="13" spans="1:10" x14ac:dyDescent="0.3">
      <c r="A13" s="9">
        <f>Data!C5</f>
        <v>5</v>
      </c>
      <c r="B13" s="10">
        <f>Data!D5</f>
        <v>100.4</v>
      </c>
    </row>
    <row r="14" spans="1:10" x14ac:dyDescent="0.3">
      <c r="A14" s="7">
        <f>Data!C6</f>
        <v>2</v>
      </c>
      <c r="B14" s="8">
        <f>Data!D6</f>
        <v>54</v>
      </c>
    </row>
    <row r="15" spans="1:10" x14ac:dyDescent="0.3">
      <c r="A15" s="9">
        <f>Data!C7</f>
        <v>1</v>
      </c>
      <c r="B15" s="10">
        <f>Data!D7</f>
        <v>44.5</v>
      </c>
    </row>
    <row r="16" spans="1:10" x14ac:dyDescent="0.3">
      <c r="A16" s="7">
        <f>Data!C8</f>
        <v>2</v>
      </c>
      <c r="B16" s="8">
        <f>Data!D8</f>
        <v>78</v>
      </c>
    </row>
    <row r="17" spans="1:2" x14ac:dyDescent="0.3">
      <c r="A17" s="9">
        <f>Data!C9</f>
        <v>1</v>
      </c>
      <c r="B17" s="10">
        <f>Data!D9</f>
        <v>22.5</v>
      </c>
    </row>
    <row r="18" spans="1:2" x14ac:dyDescent="0.3">
      <c r="A18" s="7">
        <f>Data!C10</f>
        <v>2</v>
      </c>
      <c r="B18" s="8">
        <f>Data!D10</f>
        <v>56.52</v>
      </c>
    </row>
    <row r="19" spans="1:2" x14ac:dyDescent="0.3">
      <c r="A19" s="9">
        <f>Data!C11</f>
        <v>1</v>
      </c>
      <c r="B19" s="10">
        <f>Data!D11</f>
        <v>44.5</v>
      </c>
    </row>
    <row r="20" spans="1:2" x14ac:dyDescent="0.3">
      <c r="A20" s="7">
        <f>Data!C12</f>
        <v>1</v>
      </c>
      <c r="B20" s="8">
        <f>Data!D12</f>
        <v>29.5</v>
      </c>
    </row>
    <row r="21" spans="1:2" x14ac:dyDescent="0.3">
      <c r="A21" s="9">
        <f>Data!C13</f>
        <v>1</v>
      </c>
      <c r="B21" s="10">
        <f>Data!D13</f>
        <v>31.6</v>
      </c>
    </row>
    <row r="22" spans="1:2" x14ac:dyDescent="0.3">
      <c r="A22" s="7">
        <f>Data!C14</f>
        <v>9</v>
      </c>
      <c r="B22" s="8">
        <f>Data!D14</f>
        <v>160.4</v>
      </c>
    </row>
    <row r="23" spans="1:2" x14ac:dyDescent="0.3">
      <c r="A23" s="9">
        <f>Data!C15</f>
        <v>2</v>
      </c>
      <c r="B23" s="10">
        <f>Data!D15</f>
        <v>64.5</v>
      </c>
    </row>
    <row r="24" spans="1:2" x14ac:dyDescent="0.3">
      <c r="A24" s="7">
        <f>Data!C16</f>
        <v>1</v>
      </c>
      <c r="B24" s="8">
        <f>Data!D16</f>
        <v>49.5</v>
      </c>
    </row>
    <row r="25" spans="1:2" x14ac:dyDescent="0.3">
      <c r="A25" s="9">
        <f>Data!C17</f>
        <v>2</v>
      </c>
      <c r="B25" s="10">
        <f>Data!D17</f>
        <v>71.400000000000006</v>
      </c>
    </row>
    <row r="26" spans="1:2" x14ac:dyDescent="0.3">
      <c r="A26" s="7">
        <f>Data!C18</f>
        <v>3</v>
      </c>
      <c r="B26" s="8">
        <f>Data!D18</f>
        <v>94</v>
      </c>
    </row>
    <row r="27" spans="1:2" x14ac:dyDescent="0.3">
      <c r="A27" s="9">
        <f>Data!C19</f>
        <v>3</v>
      </c>
      <c r="B27" s="10">
        <f>Data!D19</f>
        <v>54.5</v>
      </c>
    </row>
    <row r="28" spans="1:2" x14ac:dyDescent="0.3">
      <c r="A28" s="7">
        <f>Data!C20</f>
        <v>2</v>
      </c>
      <c r="B28" s="8">
        <f>Data!D20</f>
        <v>38.5</v>
      </c>
    </row>
    <row r="29" spans="1:2" x14ac:dyDescent="0.3">
      <c r="A29" s="9">
        <f>Data!C21</f>
        <v>6</v>
      </c>
      <c r="B29" s="10">
        <f>Data!D21</f>
        <v>44.8</v>
      </c>
    </row>
    <row r="30" spans="1:2" x14ac:dyDescent="0.3">
      <c r="A30" s="7">
        <f>Data!C22</f>
        <v>1</v>
      </c>
      <c r="B30" s="8">
        <f>Data!D22</f>
        <v>31.6</v>
      </c>
    </row>
    <row r="31" spans="1:2" x14ac:dyDescent="0.3">
      <c r="A31" s="9">
        <f>Data!C23</f>
        <v>4</v>
      </c>
      <c r="B31" s="10">
        <f>Data!D23</f>
        <v>70.819999999999993</v>
      </c>
    </row>
    <row r="32" spans="1:2" x14ac:dyDescent="0.3">
      <c r="A32" s="7">
        <f>Data!C24</f>
        <v>7</v>
      </c>
      <c r="B32" s="8">
        <f>Data!D24</f>
        <v>266</v>
      </c>
    </row>
    <row r="33" spans="1:2" x14ac:dyDescent="0.3">
      <c r="A33" s="9">
        <f>Data!C25</f>
        <v>2</v>
      </c>
      <c r="B33" s="10">
        <f>Data!D25</f>
        <v>74</v>
      </c>
    </row>
    <row r="34" spans="1:2" x14ac:dyDescent="0.3">
      <c r="A34" s="7">
        <f>Data!C26</f>
        <v>2</v>
      </c>
      <c r="B34" s="8">
        <f>Data!D26</f>
        <v>39.5</v>
      </c>
    </row>
    <row r="35" spans="1:2" x14ac:dyDescent="0.3">
      <c r="A35" s="9">
        <f>Data!C27</f>
        <v>1</v>
      </c>
      <c r="B35" s="10">
        <f>Data!D27</f>
        <v>30.02</v>
      </c>
    </row>
    <row r="36" spans="1:2" x14ac:dyDescent="0.3">
      <c r="A36" s="7">
        <f>Data!C28</f>
        <v>1</v>
      </c>
      <c r="B36" s="8">
        <f>Data!D28</f>
        <v>44.5</v>
      </c>
    </row>
    <row r="37" spans="1:2" x14ac:dyDescent="0.3">
      <c r="A37" s="9">
        <f>Data!C29</f>
        <v>5</v>
      </c>
      <c r="B37" s="10">
        <f>Data!D29</f>
        <v>192.8</v>
      </c>
    </row>
    <row r="38" spans="1:2" x14ac:dyDescent="0.3">
      <c r="A38" s="7">
        <f>Data!C30</f>
        <v>3</v>
      </c>
      <c r="B38" s="8">
        <f>Data!D30</f>
        <v>71.2</v>
      </c>
    </row>
    <row r="39" spans="1:2" x14ac:dyDescent="0.3">
      <c r="A39" s="9">
        <f>Data!C31</f>
        <v>1</v>
      </c>
      <c r="B39" s="10">
        <f>Data!D31</f>
        <v>18</v>
      </c>
    </row>
    <row r="40" spans="1:2" x14ac:dyDescent="0.3">
      <c r="A40" s="7">
        <f>Data!C32</f>
        <v>2</v>
      </c>
      <c r="B40" s="8">
        <f>Data!D32</f>
        <v>63.2</v>
      </c>
    </row>
    <row r="41" spans="1:2" x14ac:dyDescent="0.3">
      <c r="A41" s="9">
        <f>Data!C33</f>
        <v>1</v>
      </c>
      <c r="B41" s="10">
        <f>Data!D33</f>
        <v>75</v>
      </c>
    </row>
    <row r="42" spans="1:2" x14ac:dyDescent="0.3">
      <c r="A42" s="7">
        <f>Data!C34</f>
        <v>3</v>
      </c>
      <c r="B42" s="8">
        <f>Data!D34</f>
        <v>63.2</v>
      </c>
    </row>
    <row r="43" spans="1:2" x14ac:dyDescent="0.3">
      <c r="A43" s="9">
        <f>Data!C35</f>
        <v>1</v>
      </c>
      <c r="B43" s="10">
        <f>Data!D35</f>
        <v>40</v>
      </c>
    </row>
    <row r="44" spans="1:2" x14ac:dyDescent="0.3">
      <c r="A44" s="7">
        <f>Data!C36</f>
        <v>5</v>
      </c>
      <c r="B44" s="8">
        <f>Data!D36</f>
        <v>105.5</v>
      </c>
    </row>
    <row r="45" spans="1:2" x14ac:dyDescent="0.3">
      <c r="A45" s="9">
        <f>Data!C37</f>
        <v>1</v>
      </c>
      <c r="B45" s="10">
        <f>Data!D37</f>
        <v>29.5</v>
      </c>
    </row>
    <row r="46" spans="1:2" x14ac:dyDescent="0.3">
      <c r="A46" s="7">
        <f>Data!C38</f>
        <v>2</v>
      </c>
      <c r="B46" s="8">
        <f>Data!D38</f>
        <v>102.5</v>
      </c>
    </row>
    <row r="47" spans="1:2" x14ac:dyDescent="0.3">
      <c r="A47" s="9">
        <f>Data!C39</f>
        <v>6</v>
      </c>
      <c r="B47" s="10">
        <f>Data!D39</f>
        <v>117.5</v>
      </c>
    </row>
    <row r="48" spans="1:2" x14ac:dyDescent="0.3">
      <c r="A48" s="7">
        <f>Data!C40</f>
        <v>5</v>
      </c>
      <c r="B48" s="8">
        <f>Data!D40</f>
        <v>13.23</v>
      </c>
    </row>
    <row r="49" spans="1:2" x14ac:dyDescent="0.3">
      <c r="A49" s="9">
        <f>Data!C41</f>
        <v>2</v>
      </c>
      <c r="B49" s="10">
        <f>Data!D41</f>
        <v>52.5</v>
      </c>
    </row>
    <row r="50" spans="1:2" x14ac:dyDescent="0.3">
      <c r="A50" s="7">
        <f>Data!C42</f>
        <v>13</v>
      </c>
      <c r="B50" s="8">
        <f>Data!D42</f>
        <v>198.8</v>
      </c>
    </row>
    <row r="51" spans="1:2" x14ac:dyDescent="0.3">
      <c r="A51" s="9">
        <f>Data!C43</f>
        <v>4</v>
      </c>
      <c r="B51" s="10">
        <f>Data!D43</f>
        <v>19.5</v>
      </c>
    </row>
    <row r="52" spans="1:2" x14ac:dyDescent="0.3">
      <c r="A52" s="7">
        <f>Data!C44</f>
        <v>2</v>
      </c>
      <c r="B52" s="8">
        <f>Data!D44</f>
        <v>123.5</v>
      </c>
    </row>
    <row r="53" spans="1:2" x14ac:dyDescent="0.3">
      <c r="A53" s="9">
        <f>Data!C45</f>
        <v>1</v>
      </c>
      <c r="B53" s="10">
        <f>Data!D45</f>
        <v>62.4</v>
      </c>
    </row>
    <row r="54" spans="1:2" x14ac:dyDescent="0.3">
      <c r="A54" s="7">
        <f>Data!C46</f>
        <v>2</v>
      </c>
      <c r="B54" s="8">
        <f>Data!D46</f>
        <v>23.8</v>
      </c>
    </row>
    <row r="55" spans="1:2" x14ac:dyDescent="0.3">
      <c r="A55" s="9">
        <f>Data!C47</f>
        <v>2</v>
      </c>
      <c r="B55" s="10">
        <f>Data!D47</f>
        <v>39.6</v>
      </c>
    </row>
    <row r="56" spans="1:2" x14ac:dyDescent="0.3">
      <c r="A56" s="7">
        <f>Data!C48</f>
        <v>1</v>
      </c>
      <c r="B56" s="8">
        <f>Data!D48</f>
        <v>25</v>
      </c>
    </row>
    <row r="57" spans="1:2" x14ac:dyDescent="0.3">
      <c r="A57" s="9">
        <f>Data!C49</f>
        <v>3</v>
      </c>
      <c r="B57" s="10">
        <f>Data!D49</f>
        <v>63.64</v>
      </c>
    </row>
    <row r="58" spans="1:2" x14ac:dyDescent="0.3">
      <c r="A58" s="7">
        <f>Data!C50</f>
        <v>1</v>
      </c>
      <c r="B58" s="8">
        <f>Data!D50</f>
        <v>14.82</v>
      </c>
    </row>
    <row r="59" spans="1:2" x14ac:dyDescent="0.3">
      <c r="A59" s="9">
        <f>Data!C51</f>
        <v>9</v>
      </c>
      <c r="B59" s="10">
        <f>Data!D51</f>
        <v>145.19999999999999</v>
      </c>
    </row>
    <row r="60" spans="1:2" x14ac:dyDescent="0.3">
      <c r="A60" s="7">
        <f>Data!C52</f>
        <v>6</v>
      </c>
      <c r="B60" s="8">
        <f>Data!D52</f>
        <v>176.62</v>
      </c>
    </row>
    <row r="61" spans="1:2" x14ac:dyDescent="0.3">
      <c r="A61" s="9">
        <f>Data!C53</f>
        <v>5</v>
      </c>
      <c r="B61" s="10">
        <f>Data!D53</f>
        <v>118.8</v>
      </c>
    </row>
    <row r="62" spans="1:2" x14ac:dyDescent="0.3">
      <c r="A62" s="7">
        <f>Data!C54</f>
        <v>1</v>
      </c>
      <c r="B62" s="8">
        <f>Data!D54</f>
        <v>58</v>
      </c>
    </row>
    <row r="63" spans="1:2" x14ac:dyDescent="0.3">
      <c r="A63" s="9">
        <f>Data!C55</f>
        <v>2</v>
      </c>
      <c r="B63" s="10">
        <f>Data!D55</f>
        <v>74</v>
      </c>
    </row>
    <row r="64" spans="1:2" x14ac:dyDescent="0.3">
      <c r="A64" s="7">
        <f>Data!C56</f>
        <v>2</v>
      </c>
      <c r="B64" s="8">
        <f>Data!D56</f>
        <v>49.5</v>
      </c>
    </row>
    <row r="65" spans="1:2" x14ac:dyDescent="0.3">
      <c r="A65" s="9">
        <f>Data!C57</f>
        <v>3</v>
      </c>
      <c r="B65" s="10">
        <f>Data!D57</f>
        <v>141.6</v>
      </c>
    </row>
    <row r="66" spans="1:2" x14ac:dyDescent="0.3">
      <c r="A66" s="7">
        <f>Data!C58</f>
        <v>6</v>
      </c>
      <c r="B66" s="8">
        <f>Data!D58</f>
        <v>123.1</v>
      </c>
    </row>
    <row r="67" spans="1:2" x14ac:dyDescent="0.3">
      <c r="A67" s="9">
        <f>Data!C59</f>
        <v>2</v>
      </c>
      <c r="B67" s="10">
        <f>Data!D59</f>
        <v>80.400000000000006</v>
      </c>
    </row>
    <row r="68" spans="1:2" x14ac:dyDescent="0.3">
      <c r="A68" s="7">
        <f>Data!C60</f>
        <v>4</v>
      </c>
      <c r="B68" s="8">
        <f>Data!D60</f>
        <v>65.2</v>
      </c>
    </row>
    <row r="69" spans="1:2" x14ac:dyDescent="0.3">
      <c r="A69" s="9">
        <f>Data!C61</f>
        <v>4</v>
      </c>
      <c r="B69" s="10">
        <f>Data!D61</f>
        <v>113</v>
      </c>
    </row>
    <row r="70" spans="1:2" x14ac:dyDescent="0.3">
      <c r="A70" s="7">
        <f>Data!C62</f>
        <v>1</v>
      </c>
      <c r="B70" s="8">
        <f>Data!D62</f>
        <v>108.8</v>
      </c>
    </row>
    <row r="71" spans="1:2" x14ac:dyDescent="0.3">
      <c r="A71" s="9">
        <f>Data!C63</f>
        <v>3</v>
      </c>
      <c r="B71" s="10">
        <f>Data!D63</f>
        <v>59.91</v>
      </c>
    </row>
    <row r="72" spans="1:2" x14ac:dyDescent="0.3">
      <c r="A72" s="7">
        <f>Data!C64</f>
        <v>5</v>
      </c>
      <c r="B72" s="8">
        <f>Data!D64</f>
        <v>53.6</v>
      </c>
    </row>
    <row r="73" spans="1:2" x14ac:dyDescent="0.3">
      <c r="A73" s="9">
        <f>Data!C65</f>
        <v>1</v>
      </c>
      <c r="B73" s="10">
        <f>Data!D65</f>
        <v>31.6</v>
      </c>
    </row>
    <row r="74" spans="1:2" x14ac:dyDescent="0.3">
      <c r="A74" s="7">
        <f>Data!C66</f>
        <v>2</v>
      </c>
      <c r="B74" s="8">
        <f>Data!D66</f>
        <v>49.5</v>
      </c>
    </row>
    <row r="75" spans="1:2" x14ac:dyDescent="0.3">
      <c r="A75" s="9">
        <f>Data!C67</f>
        <v>1</v>
      </c>
      <c r="B75" s="10">
        <f>Data!D67</f>
        <v>39.6</v>
      </c>
    </row>
    <row r="76" spans="1:2" x14ac:dyDescent="0.3">
      <c r="A76" s="7">
        <f>Data!C68</f>
        <v>2</v>
      </c>
      <c r="B76" s="8">
        <f>Data!D68</f>
        <v>59.5</v>
      </c>
    </row>
    <row r="77" spans="1:2" x14ac:dyDescent="0.3">
      <c r="A77" s="9">
        <f>Data!C69</f>
        <v>5</v>
      </c>
      <c r="B77" s="10">
        <f>Data!D69</f>
        <v>146.80000000000001</v>
      </c>
    </row>
    <row r="78" spans="1:2" x14ac:dyDescent="0.3">
      <c r="A78" s="7">
        <f>Data!C70</f>
        <v>2</v>
      </c>
      <c r="B78" s="8">
        <f>Data!D70</f>
        <v>47.2</v>
      </c>
    </row>
    <row r="79" spans="1:2" x14ac:dyDescent="0.3">
      <c r="A79" s="9">
        <f>Data!C71</f>
        <v>8</v>
      </c>
      <c r="B79" s="10">
        <f>Data!D71</f>
        <v>95.05</v>
      </c>
    </row>
    <row r="80" spans="1:2" x14ac:dyDescent="0.3">
      <c r="A80" s="7">
        <f>Data!C72</f>
        <v>5</v>
      </c>
      <c r="B80" s="8">
        <f>Data!D72</f>
        <v>155.32</v>
      </c>
    </row>
    <row r="81" spans="1:2" x14ac:dyDescent="0.3">
      <c r="A81" s="9">
        <f>Data!C73</f>
        <v>4</v>
      </c>
      <c r="B81" s="10">
        <f>Data!D73</f>
        <v>58</v>
      </c>
    </row>
    <row r="82" spans="1:2" x14ac:dyDescent="0.3">
      <c r="A82" s="7">
        <f>Data!C74</f>
        <v>1</v>
      </c>
      <c r="B82" s="8">
        <f>Data!D74</f>
        <v>69</v>
      </c>
    </row>
    <row r="83" spans="1:2" x14ac:dyDescent="0.3">
      <c r="A83" s="9">
        <f>Data!C75</f>
        <v>2</v>
      </c>
      <c r="B83" s="10">
        <f>Data!D75</f>
        <v>46.5</v>
      </c>
    </row>
    <row r="84" spans="1:2" x14ac:dyDescent="0.3">
      <c r="A84" s="7">
        <f>Data!C76</f>
        <v>2</v>
      </c>
      <c r="B84" s="8">
        <f>Data!D76</f>
        <v>45.22</v>
      </c>
    </row>
    <row r="85" spans="1:2" x14ac:dyDescent="0.3">
      <c r="A85" s="9">
        <f>Data!C77</f>
        <v>4</v>
      </c>
      <c r="B85" s="10">
        <f>Data!D77</f>
        <v>84.74</v>
      </c>
    </row>
    <row r="86" spans="1:2" x14ac:dyDescent="0.3">
      <c r="A86" s="7">
        <f>Data!C78</f>
        <v>2</v>
      </c>
      <c r="B86" s="8">
        <f>Data!D78</f>
        <v>39</v>
      </c>
    </row>
    <row r="87" spans="1:2" x14ac:dyDescent="0.3">
      <c r="A87" s="9">
        <f>Data!C79</f>
        <v>4</v>
      </c>
      <c r="B87" s="10">
        <f>Data!D79</f>
        <v>111.14</v>
      </c>
    </row>
    <row r="88" spans="1:2" x14ac:dyDescent="0.3">
      <c r="A88" s="7">
        <f>Data!C80</f>
        <v>3</v>
      </c>
      <c r="B88" s="8">
        <f>Data!D80</f>
        <v>86.8</v>
      </c>
    </row>
    <row r="89" spans="1:2" x14ac:dyDescent="0.3">
      <c r="A89" s="9">
        <f>Data!C81</f>
        <v>2</v>
      </c>
      <c r="B89" s="10">
        <f>Data!D81</f>
        <v>89</v>
      </c>
    </row>
    <row r="90" spans="1:2" x14ac:dyDescent="0.3">
      <c r="A90" s="7">
        <f>Data!C82</f>
        <v>2</v>
      </c>
      <c r="B90" s="8">
        <f>Data!D82</f>
        <v>78</v>
      </c>
    </row>
    <row r="91" spans="1:2" x14ac:dyDescent="0.3">
      <c r="A91" s="9">
        <f>Data!C83</f>
        <v>6</v>
      </c>
      <c r="B91" s="10">
        <f>Data!D83</f>
        <v>53.2</v>
      </c>
    </row>
    <row r="92" spans="1:2" x14ac:dyDescent="0.3">
      <c r="A92" s="7">
        <f>Data!C84</f>
        <v>4</v>
      </c>
      <c r="B92" s="8">
        <f>Data!D84</f>
        <v>58.5</v>
      </c>
    </row>
    <row r="93" spans="1:2" x14ac:dyDescent="0.3">
      <c r="A93" s="9">
        <f>Data!C85</f>
        <v>3</v>
      </c>
      <c r="B93" s="10">
        <f>Data!D85</f>
        <v>46</v>
      </c>
    </row>
    <row r="94" spans="1:2" x14ac:dyDescent="0.3">
      <c r="A94" s="7">
        <f>Data!C86</f>
        <v>2</v>
      </c>
      <c r="B94" s="8">
        <f>Data!D86</f>
        <v>37.5</v>
      </c>
    </row>
    <row r="95" spans="1:2" x14ac:dyDescent="0.3">
      <c r="A95" s="9">
        <f>Data!C87</f>
        <v>1</v>
      </c>
      <c r="B95" s="10">
        <f>Data!D87</f>
        <v>20.8</v>
      </c>
    </row>
    <row r="96" spans="1:2" x14ac:dyDescent="0.3">
      <c r="A96" s="7">
        <f>Data!C88</f>
        <v>6</v>
      </c>
      <c r="B96" s="8">
        <f>Data!D88</f>
        <v>144</v>
      </c>
    </row>
    <row r="97" spans="1:10" x14ac:dyDescent="0.3">
      <c r="A97" s="9">
        <f>Data!C89</f>
        <v>4</v>
      </c>
      <c r="B97" s="10">
        <f>Data!D89</f>
        <v>107</v>
      </c>
    </row>
    <row r="98" spans="1:10" x14ac:dyDescent="0.3">
      <c r="A98" s="7">
        <f>Data!C90</f>
        <v>1</v>
      </c>
      <c r="B98" s="8">
        <f>Data!D90</f>
        <v>31.6</v>
      </c>
    </row>
    <row r="99" spans="1:10" x14ac:dyDescent="0.3">
      <c r="A99" s="9">
        <f>Data!C91</f>
        <v>6</v>
      </c>
      <c r="B99" s="10">
        <f>Data!D91</f>
        <v>57.6</v>
      </c>
    </row>
    <row r="100" spans="1:10" x14ac:dyDescent="0.3">
      <c r="A100" s="7">
        <f>Data!C92</f>
        <v>4</v>
      </c>
      <c r="B100" s="8">
        <f>Data!D92</f>
        <v>95.2</v>
      </c>
    </row>
    <row r="101" spans="1:10" x14ac:dyDescent="0.3">
      <c r="A101" s="9">
        <f>Data!C93</f>
        <v>1</v>
      </c>
      <c r="B101" s="10">
        <f>Data!D93</f>
        <v>22.42</v>
      </c>
    </row>
    <row r="102" spans="1:10" x14ac:dyDescent="0.3">
      <c r="A102" s="7">
        <f>Data!C94</f>
        <v>5</v>
      </c>
      <c r="B102" s="8">
        <f>Data!D94</f>
        <v>159.75</v>
      </c>
    </row>
    <row r="103" spans="1:10" x14ac:dyDescent="0.3">
      <c r="A103" s="9">
        <f>Data!C95</f>
        <v>17</v>
      </c>
      <c r="B103" s="10">
        <f>Data!D95</f>
        <v>229.5</v>
      </c>
    </row>
    <row r="104" spans="1:10" x14ac:dyDescent="0.3">
      <c r="A104" s="7">
        <f>Data!C96</f>
        <v>3</v>
      </c>
      <c r="B104" s="8">
        <f>Data!D96</f>
        <v>66</v>
      </c>
    </row>
    <row r="105" spans="1:10" x14ac:dyDescent="0.3">
      <c r="A105" s="9">
        <f>Data!C97</f>
        <v>1</v>
      </c>
      <c r="B105" s="10">
        <f>Data!D97</f>
        <v>39.5</v>
      </c>
    </row>
    <row r="106" spans="1:10" x14ac:dyDescent="0.3">
      <c r="A106" s="7">
        <f>Data!C98</f>
        <v>9</v>
      </c>
      <c r="B106" s="8">
        <f>Data!D98</f>
        <v>253</v>
      </c>
    </row>
    <row r="107" spans="1:10" x14ac:dyDescent="0.3">
      <c r="A107" s="9">
        <f>Data!C99</f>
        <v>10</v>
      </c>
      <c r="B107" s="10">
        <f>Data!D99</f>
        <v>287.58999999999997</v>
      </c>
    </row>
    <row r="108" spans="1:10" x14ac:dyDescent="0.3">
      <c r="A108" s="7">
        <f>Data!C100</f>
        <v>2</v>
      </c>
      <c r="B108" s="8">
        <f>Data!D100</f>
        <v>47.6</v>
      </c>
    </row>
    <row r="109" spans="1:10" x14ac:dyDescent="0.3">
      <c r="A109" s="9">
        <f>Data!C101</f>
        <v>1</v>
      </c>
      <c r="B109" s="10">
        <f>Data!D101</f>
        <v>28.44</v>
      </c>
    </row>
    <row r="112" spans="1:10" ht="22.05" customHeight="1" x14ac:dyDescent="0.3">
      <c r="A112" s="26" t="s">
        <v>28</v>
      </c>
      <c r="B112" s="25"/>
      <c r="C112" s="25"/>
      <c r="D112" s="25"/>
      <c r="E112" s="25"/>
      <c r="F112" s="25"/>
      <c r="G112" s="25"/>
      <c r="H112" s="25"/>
      <c r="I112" s="25"/>
      <c r="J112" s="25"/>
    </row>
    <row r="113" spans="1:10" ht="22.95" customHeight="1" x14ac:dyDescent="0.3">
      <c r="A113" s="23" t="s">
        <v>109</v>
      </c>
      <c r="B113" s="21"/>
      <c r="C113" s="21"/>
      <c r="D113" s="21"/>
      <c r="E113" s="21"/>
      <c r="F113" s="21"/>
      <c r="G113" s="21"/>
      <c r="H113" s="21"/>
      <c r="I113" s="21"/>
      <c r="J113" s="22"/>
    </row>
    <row r="114" spans="1:10" ht="22.95" customHeight="1" x14ac:dyDescent="0.3">
      <c r="A114" s="20" t="s">
        <v>110</v>
      </c>
      <c r="B114" s="21"/>
      <c r="C114" s="21"/>
      <c r="D114" s="21"/>
      <c r="E114" s="21"/>
      <c r="F114" s="21"/>
      <c r="G114" s="21"/>
      <c r="H114" s="21"/>
      <c r="I114" s="21"/>
      <c r="J114" s="22"/>
    </row>
    <row r="115" spans="1:10" ht="22.95" customHeight="1" x14ac:dyDescent="0.3">
      <c r="A115" s="23" t="s">
        <v>111</v>
      </c>
      <c r="B115" s="21"/>
      <c r="C115" s="21"/>
      <c r="D115" s="21"/>
      <c r="E115" s="21"/>
      <c r="F115" s="21"/>
      <c r="G115" s="21"/>
      <c r="H115" s="21"/>
      <c r="I115" s="21"/>
      <c r="J115" s="22"/>
    </row>
    <row r="116" spans="1:10" ht="22.95" customHeight="1" x14ac:dyDescent="0.3">
      <c r="A116" s="20" t="s">
        <v>112</v>
      </c>
      <c r="B116" s="21"/>
      <c r="C116" s="21"/>
      <c r="D116" s="21"/>
      <c r="E116" s="21"/>
      <c r="F116" s="21"/>
      <c r="G116" s="21"/>
      <c r="H116" s="21"/>
      <c r="I116" s="21"/>
      <c r="J116" s="22"/>
    </row>
    <row r="117" spans="1:10" ht="22.95" customHeight="1" x14ac:dyDescent="0.3">
      <c r="A117" s="23" t="s">
        <v>113</v>
      </c>
      <c r="B117" s="21"/>
      <c r="C117" s="21"/>
      <c r="D117" s="21"/>
      <c r="E117" s="21"/>
      <c r="F117" s="21"/>
      <c r="G117" s="21"/>
      <c r="H117" s="21"/>
      <c r="I117" s="21"/>
      <c r="J117" s="22"/>
    </row>
    <row r="118" spans="1:10" ht="31.05" customHeight="1" x14ac:dyDescent="0.3">
      <c r="A118" s="20" t="s">
        <v>114</v>
      </c>
      <c r="B118" s="21"/>
      <c r="C118" s="21"/>
      <c r="D118" s="21"/>
      <c r="E118" s="21"/>
      <c r="F118" s="21"/>
      <c r="G118" s="21"/>
      <c r="H118" s="21"/>
      <c r="I118" s="21"/>
      <c r="J118" s="22"/>
    </row>
  </sheetData>
  <mergeCells count="8">
    <mergeCell ref="A116:J116"/>
    <mergeCell ref="A117:J117"/>
    <mergeCell ref="A1:J1"/>
    <mergeCell ref="A115:J115"/>
    <mergeCell ref="A118:J118"/>
    <mergeCell ref="A114:J114"/>
    <mergeCell ref="A113:J113"/>
    <mergeCell ref="A112:J112"/>
  </mergeCells>
  <pageMargins left="0.75" right="0.75" top="1" bottom="1" header="0.5" footer="0.5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&amp;UnStack</vt:lpstr>
      <vt:lpstr>&amp;DataIndices</vt:lpstr>
      <vt:lpstr>&amp;DataCopy</vt:lpstr>
      <vt:lpstr>&amp;GraphData</vt:lpstr>
      <vt:lpstr>&amp;WorkArea</vt:lpstr>
      <vt:lpstr>&amp;Miscel_Area</vt:lpstr>
      <vt:lpstr>Data</vt:lpstr>
      <vt:lpstr>01 Location Measures</vt:lpstr>
      <vt:lpstr>02 Variability</vt:lpstr>
      <vt:lpstr>03 Shape Measures</vt:lpstr>
      <vt:lpstr>04 Z Scores and Outliers</vt:lpstr>
      <vt:lpstr>05 Five Number Summary</vt:lpstr>
      <vt:lpstr>06 Box Plots by Type</vt:lpstr>
      <vt:lpstr>07 Association</vt:lpstr>
      <vt:lpstr>'01 Location Measures'!Print_Area</vt:lpstr>
      <vt:lpstr>'06 Box Plots by Type'!Print_Area</vt:lpstr>
      <vt:lpstr>'07 Association'!Print_Area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Omer C</cp:lastModifiedBy>
  <cp:lastPrinted>2026-09-21T11:13:41Z</cp:lastPrinted>
  <dcterms:created xsi:type="dcterms:W3CDTF">2004-09-08T14:06:35Z</dcterms:created>
  <dcterms:modified xsi:type="dcterms:W3CDTF">2026-09-21T11:13:42Z</dcterms:modified>
</cp:coreProperties>
</file>