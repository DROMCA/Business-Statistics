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744a0cafea0a387/CBU/_Teaching/AUI/Business Statistics/GBU 2301/datasets/"/>
    </mc:Choice>
  </mc:AlternateContent>
  <xr:revisionPtr revIDLastSave="168" documentId="11_596521225D0FF67C89DAA615F4E9F01871D96C87" xr6:coauthVersionLast="47" xr6:coauthVersionMax="47" xr10:uidLastSave="{EB3E7B8F-A03C-4327-8196-F945A8095DEA}"/>
  <bookViews>
    <workbookView xWindow="-108" yWindow="-108" windowWidth="23256" windowHeight="12456" xr2:uid="{00000000-000D-0000-FFFF-FFFF00000000}"/>
  </bookViews>
  <sheets>
    <sheet name="Data" sheetId="1" r:id="rId1"/>
    <sheet name="01 Returns and Growth" sheetId="2" r:id="rId2"/>
    <sheet name="02 Return Summary" sheetId="3" r:id="rId3"/>
    <sheet name="03 Outlier Review" sheetId="4" r:id="rId4"/>
  </sheets>
  <definedNames>
    <definedName name="_xlnm.Print_Area" localSheetId="1">'01 Returns and Growth'!$A$1:$N$29</definedName>
    <definedName name="_xlnm.Print_Area" localSheetId="2">'02 Return Summary'!$A$1:$H$26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4" i="4"/>
  <c r="B3" i="4"/>
  <c r="B17" i="3"/>
  <c r="B16" i="3"/>
  <c r="B15" i="3"/>
  <c r="B14" i="3"/>
  <c r="B12" i="3"/>
  <c r="B11" i="3"/>
  <c r="B9" i="3"/>
  <c r="B8" i="3"/>
  <c r="B10" i="3" s="1"/>
  <c r="B7" i="3"/>
  <c r="B5" i="3"/>
  <c r="B4" i="3"/>
  <c r="B19" i="2"/>
  <c r="C19" i="2" s="1"/>
  <c r="A19" i="2"/>
  <c r="B18" i="2"/>
  <c r="C18" i="2" s="1"/>
  <c r="A18" i="2"/>
  <c r="C17" i="2"/>
  <c r="B17" i="2"/>
  <c r="A17" i="2"/>
  <c r="B16" i="2"/>
  <c r="C16" i="2" s="1"/>
  <c r="A16" i="2"/>
  <c r="B15" i="2"/>
  <c r="C15" i="2" s="1"/>
  <c r="A15" i="2"/>
  <c r="B14" i="2"/>
  <c r="C14" i="2" s="1"/>
  <c r="A14" i="2"/>
  <c r="B13" i="2"/>
  <c r="C13" i="2" s="1"/>
  <c r="A13" i="2"/>
  <c r="B12" i="2"/>
  <c r="C12" i="2" s="1"/>
  <c r="A12" i="2"/>
  <c r="B11" i="2"/>
  <c r="C11" i="2" s="1"/>
  <c r="A11" i="2"/>
  <c r="B10" i="2"/>
  <c r="C10" i="2" s="1"/>
  <c r="A10" i="2"/>
  <c r="B3" i="2"/>
  <c r="C21" i="4" l="1"/>
  <c r="E21" i="4" s="1"/>
  <c r="C20" i="4"/>
  <c r="E20" i="4" s="1"/>
  <c r="C19" i="4"/>
  <c r="E19" i="4" s="1"/>
  <c r="C18" i="4"/>
  <c r="E18" i="4" s="1"/>
  <c r="C17" i="4"/>
  <c r="E17" i="4" s="1"/>
  <c r="C16" i="4"/>
  <c r="E16" i="4" s="1"/>
  <c r="C15" i="4"/>
  <c r="E15" i="4" s="1"/>
  <c r="C14" i="4"/>
  <c r="E14" i="4" s="1"/>
  <c r="C13" i="4"/>
  <c r="E13" i="4" s="1"/>
  <c r="C12" i="4"/>
  <c r="E12" i="4" s="1"/>
  <c r="B13" i="3"/>
  <c r="B4" i="2"/>
  <c r="D10" i="2"/>
  <c r="D11" i="2" s="1"/>
  <c r="D12" i="2" s="1"/>
  <c r="D13" i="2" s="1"/>
  <c r="D14" i="2" s="1"/>
  <c r="D15" i="2" s="1"/>
  <c r="D16" i="2" s="1"/>
  <c r="D17" i="2" s="1"/>
  <c r="D18" i="2" s="1"/>
  <c r="D19" i="2" s="1"/>
  <c r="B5" i="2" s="1"/>
  <c r="B6" i="3"/>
  <c r="B8" i="4"/>
  <c r="B5" i="4" l="1"/>
  <c r="B6" i="4"/>
  <c r="D20" i="4" l="1"/>
  <c r="D17" i="4"/>
  <c r="D18" i="4"/>
  <c r="D16" i="4"/>
  <c r="D15" i="4"/>
  <c r="D13" i="4"/>
  <c r="D12" i="4"/>
  <c r="D21" i="4"/>
  <c r="D19" i="4"/>
  <c r="D14" i="4"/>
  <c r="B7" i="4"/>
</calcChain>
</file>

<file path=xl/sharedStrings.xml><?xml version="1.0" encoding="utf-8"?>
<sst xmlns="http://schemas.openxmlformats.org/spreadsheetml/2006/main" count="59" uniqueCount="51">
  <si>
    <t>Year</t>
  </si>
  <si>
    <t>Return (%)</t>
  </si>
  <si>
    <t>Week 3: Returns and Compound Growth</t>
  </si>
  <si>
    <t>Arithmetic mean return</t>
  </si>
  <si>
    <t>Geometric mean return</t>
  </si>
  <si>
    <t>Ending value of $100</t>
  </si>
  <si>
    <t>Growth factor</t>
  </si>
  <si>
    <t>Value of $100</t>
  </si>
  <si>
    <t>How to recreate this output in Excel</t>
  </si>
  <si>
    <t>1. Use Year and Return (%) from the Data sheet.</t>
  </si>
  <si>
    <t>2. In C10, enter =1+B10/100 and fill down to convert each percentage return into a growth factor.</t>
  </si>
  <si>
    <t>3. In D10, enter =100*C10. In D11, enter =D10*C11 and fill down through the final year.</t>
  </si>
  <si>
    <t>4. In B3, enter =AVERAGE(Data!B2:B11)/100 and format it as Percentage with two decimal places. The result is 5.04%.</t>
  </si>
  <si>
    <t>5. Calculate the geometric mean with =GEOMEAN(C10:C19)-1 and format the result as a percentage.</t>
  </si>
  <si>
    <t>6. Select Year and Value of $100, then choose Insert, Line Chart, Line with Markers.</t>
  </si>
  <si>
    <t>Week 3: Mutual Fund Return Summary</t>
  </si>
  <si>
    <t>Measure</t>
  </si>
  <si>
    <t>Value</t>
  </si>
  <si>
    <t>Observations</t>
  </si>
  <si>
    <t>Arithmetic mean</t>
  </si>
  <si>
    <t>Geometric mean</t>
  </si>
  <si>
    <t>Median</t>
  </si>
  <si>
    <t>Minimum</t>
  </si>
  <si>
    <t>Maximum</t>
  </si>
  <si>
    <t>Range</t>
  </si>
  <si>
    <t>Q1</t>
  </si>
  <si>
    <t>Q3</t>
  </si>
  <si>
    <t>IQR</t>
  </si>
  <si>
    <t>Sample variance</t>
  </si>
  <si>
    <t>Sample standard deviation</t>
  </si>
  <si>
    <t>Adjusted sample skewness</t>
  </si>
  <si>
    <t>Adjusted excess kurtosis</t>
  </si>
  <si>
    <t>pp = percentage points; variance is in squared percentage points.</t>
  </si>
  <si>
    <t>2. Use AVERAGE, MEDIAN, MIN, MAX, VAR.S, STDEV.S, SKEW, and KURT on Data!B2:B11 for the corresponding measures.</t>
  </si>
  <si>
    <t>3. Calculate range as MAX-MIN. Use =PERCENTILE.EXC(Data!B2:B11,0.25) for Q1 and 0.75 for Q3; IQR=Q3-Q1.</t>
  </si>
  <si>
    <t>4. In B6, enter =(GEOMEAN('01 Returns and Growth'!C10:C19)-1)*100. This sheet stores returns in percent units, like Data: 2.93 means 2.93%.</t>
  </si>
  <si>
    <t>5. Read the measures as a group. The arithmetic mean describes a typical one-period return, while the geometric mean describes compound growth.</t>
  </si>
  <si>
    <t>Week 3: Mutual Fund Outlier Review</t>
  </si>
  <si>
    <t>Mean</t>
  </si>
  <si>
    <t>Lower IQR fence</t>
  </si>
  <si>
    <t>Upper IQR fence</t>
  </si>
  <si>
    <t>IQR flags</t>
  </si>
  <si>
    <t>|z| &gt; 3 flags</t>
  </si>
  <si>
    <t>z-score</t>
  </si>
  <si>
    <t>IQR rule</t>
  </si>
  <si>
    <t>|z| &gt; 3 rule</t>
  </si>
  <si>
    <t>2. Calculate the mean and sample standard deviation, then compute each z-score as (return-mean)/sample standard deviation.</t>
  </si>
  <si>
    <t>3. Calculate Q1, Q3, IQR, and the two IQR fences.</t>
  </si>
  <si>
    <t>4. Flag a return under the IQR rule when it is below the lower fence or above the upper fence.</t>
  </si>
  <si>
    <t>5. Flag a return under the z-score rule when ABS(z)&gt;3. A flagged year requires investigation, not automatic removal.</t>
  </si>
  <si>
    <t>1. Use Return (%) in Data!B2:B11. Values are already in percent units. For return cells, use Custom format 0.00"%", not Percentage.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</si>
</sst>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"/>
    <numFmt numFmtId="165" formatCode="0.00&quot;%&quot;"/>
    <numFmt numFmtId="166" formatCode="0.0000"/>
    <numFmt numFmtId="167" formatCode="0.000"/>
    <numFmt numFmtId="168" formatCode="0.00&quot; pp&quot;"/>
    <numFmt numFmtId="169" formatCode="0.00&quot; pp²&quot;"/>
    <numFmt numFmtId="171" formatCode="0.000%"/>
  </numFmts>
  <fonts count="8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8"/>
      <color rgb="FFFFFFFF"/>
      <name val="Aptos Display"/>
      <family val="2"/>
    </font>
    <font>
      <b/>
      <sz val="10"/>
      <color rgb="FF17365D"/>
      <name val="Aptos"/>
      <family val="2"/>
    </font>
    <font>
      <sz val="10"/>
      <name val="Aptos"/>
      <family val="2"/>
    </font>
    <font>
      <b/>
      <sz val="10"/>
      <color rgb="FFFFFFFF"/>
      <name val="Aptos"/>
      <family val="2"/>
    </font>
    <font>
      <b/>
      <sz val="12"/>
      <color rgb="FFFFFFFF"/>
      <name val="Aptos"/>
      <family val="2"/>
    </font>
    <font>
      <sz val="12"/>
      <color theme="1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9E89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 wrapText="1"/>
    </xf>
    <xf numFmtId="10" fontId="4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165" fontId="4" fillId="4" borderId="1" xfId="0" applyNumberFormat="1" applyFont="1" applyFill="1" applyBorder="1" applyAlignment="1">
      <alignment vertical="center" wrapText="1"/>
    </xf>
    <xf numFmtId="166" fontId="4" fillId="4" borderId="1" xfId="0" applyNumberFormat="1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166" fontId="4" fillId="0" borderId="1" xfId="0" applyNumberFormat="1" applyFont="1" applyBorder="1" applyAlignment="1">
      <alignment vertical="center" wrapText="1"/>
    </xf>
    <xf numFmtId="1" fontId="4" fillId="4" borderId="1" xfId="0" applyNumberFormat="1" applyFont="1" applyFill="1" applyBorder="1" applyAlignment="1">
      <alignment vertical="center" wrapText="1"/>
    </xf>
    <xf numFmtId="167" fontId="4" fillId="4" borderId="1" xfId="0" applyNumberFormat="1" applyFont="1" applyFill="1" applyBorder="1" applyAlignment="1">
      <alignment vertical="center" wrapText="1"/>
    </xf>
    <xf numFmtId="167" fontId="4" fillId="0" borderId="1" xfId="0" applyNumberFormat="1" applyFont="1" applyBorder="1" applyAlignment="1">
      <alignment vertical="center" wrapText="1"/>
    </xf>
    <xf numFmtId="168" fontId="4" fillId="4" borderId="1" xfId="0" applyNumberFormat="1" applyFont="1" applyFill="1" applyBorder="1" applyAlignment="1">
      <alignment vertical="center" wrapText="1"/>
    </xf>
    <xf numFmtId="168" fontId="4" fillId="0" borderId="1" xfId="0" applyNumberFormat="1" applyFont="1" applyBorder="1" applyAlignment="1">
      <alignment vertical="center" wrapText="1"/>
    </xf>
    <xf numFmtId="169" fontId="4" fillId="4" borderId="1" xfId="0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4" fillId="4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vertical="top" wrapText="1"/>
    </xf>
    <xf numFmtId="0" fontId="6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4" fillId="4" borderId="1" xfId="0" applyFont="1" applyFill="1" applyBorder="1" applyAlignment="1">
      <alignment vertical="top" wrapText="1"/>
    </xf>
    <xf numFmtId="17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0"/>
            </a:pPr>
            <a:r>
              <a:rPr lang="en-US"/>
              <a:t>Growth of $100</a:t>
            </a:r>
          </a:p>
        </c:rich>
      </c:tx>
      <c:layout>
        <c:manualLayout>
          <c:xMode val="edge"/>
          <c:yMode val="edge"/>
          <c:x val="0.41813100439001011"/>
          <c:y val="3.52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523148148148148"/>
          <c:y val="0.14816666666666667"/>
          <c:w val="0.83294753086419748"/>
          <c:h val="0.68086111111111114"/>
        </c:manualLayout>
      </c:layout>
      <c:lineChart>
        <c:grouping val="standard"/>
        <c:varyColors val="0"/>
        <c:ser>
          <c:idx val="0"/>
          <c:order val="0"/>
          <c:tx>
            <c:strRef>
              <c:f>'01 Returns and Growth'!$D$9</c:f>
              <c:strCache>
                <c:ptCount val="1"/>
                <c:pt idx="0">
                  <c:v>Value of $100</c:v>
                </c:pt>
              </c:strCache>
            </c:strRef>
          </c:tx>
          <c:spPr>
            <a:ln w="25400">
              <a:solidFill>
                <a:srgbClr val="1F6F8B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6F8B"/>
              </a:solidFill>
              <a:ln>
                <a:solidFill>
                  <a:srgbClr val="1F6F8B"/>
                </a:solidFill>
                <a:prstDash val="solid"/>
              </a:ln>
            </c:spPr>
          </c:marker>
          <c:cat>
            <c:numRef>
              <c:f>'01 Returns and Growth'!$A$10:$A$19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'01 Returns and Growth'!$D$10:$D$19</c:f>
              <c:numCache>
                <c:formatCode>\$#,##0.00</c:formatCode>
                <c:ptCount val="10"/>
                <c:pt idx="0">
                  <c:v>77.900000000000006</c:v>
                </c:pt>
                <c:pt idx="1">
                  <c:v>100.2573</c:v>
                </c:pt>
                <c:pt idx="2">
                  <c:v>111.1853457</c:v>
                </c:pt>
                <c:pt idx="3">
                  <c:v>116.6334276393</c:v>
                </c:pt>
                <c:pt idx="4">
                  <c:v>135.06150920630938</c:v>
                </c:pt>
                <c:pt idx="5">
                  <c:v>142.4898922126564</c:v>
                </c:pt>
                <c:pt idx="6">
                  <c:v>89.768632093973537</c:v>
                </c:pt>
                <c:pt idx="7">
                  <c:v>113.55731959887653</c:v>
                </c:pt>
                <c:pt idx="8">
                  <c:v>130.7044748583069</c:v>
                </c:pt>
                <c:pt idx="9">
                  <c:v>133.44926883033133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C5-40E1-9849-635E2D343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52628564814814804"/>
              <c:y val="0.92591667429606117"/>
            </c:manualLayout>
          </c:layout>
          <c:overlay val="1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DCDCDC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en-US"/>
                  <a:t>Value ($)</a:t>
                </a:r>
              </a:p>
            </c:rich>
          </c:tx>
          <c:layout>
            <c:manualLayout>
              <c:xMode val="edge"/>
              <c:yMode val="edge"/>
              <c:x val="1.1759259259259259E-2"/>
              <c:y val="0.40742305555555547"/>
            </c:manualLayout>
          </c:layout>
          <c:overlay val="1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rgbClr val="000000"/>
                </a:solidFill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1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11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" sqref="C1:E12"/>
    </sheetView>
  </sheetViews>
  <sheetFormatPr defaultRowHeight="15.6" x14ac:dyDescent="0.3"/>
  <cols>
    <col min="2" max="2" width="10.5" bestFit="1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>
        <v>1</v>
      </c>
      <c r="B2">
        <v>-22.1</v>
      </c>
    </row>
    <row r="3" spans="1:3" x14ac:dyDescent="0.3">
      <c r="A3">
        <v>2</v>
      </c>
      <c r="B3">
        <v>28.7</v>
      </c>
    </row>
    <row r="4" spans="1:3" x14ac:dyDescent="0.3">
      <c r="A4">
        <v>3</v>
      </c>
      <c r="B4">
        <v>10.9</v>
      </c>
    </row>
    <row r="5" spans="1:3" x14ac:dyDescent="0.3">
      <c r="A5">
        <v>4</v>
      </c>
      <c r="B5">
        <v>4.9000000000000004</v>
      </c>
    </row>
    <row r="6" spans="1:3" x14ac:dyDescent="0.3">
      <c r="A6">
        <v>5</v>
      </c>
      <c r="B6">
        <v>15.8</v>
      </c>
    </row>
    <row r="7" spans="1:3" x14ac:dyDescent="0.3">
      <c r="A7">
        <v>6</v>
      </c>
      <c r="B7">
        <v>5.5</v>
      </c>
    </row>
    <row r="8" spans="1:3" x14ac:dyDescent="0.3">
      <c r="A8">
        <v>7</v>
      </c>
      <c r="B8">
        <v>-37</v>
      </c>
    </row>
    <row r="9" spans="1:3" x14ac:dyDescent="0.3">
      <c r="A9">
        <v>8</v>
      </c>
      <c r="B9">
        <v>26.5</v>
      </c>
    </row>
    <row r="10" spans="1:3" x14ac:dyDescent="0.3">
      <c r="A10">
        <v>9</v>
      </c>
      <c r="B10">
        <v>15.1</v>
      </c>
    </row>
    <row r="11" spans="1:3" x14ac:dyDescent="0.3">
      <c r="A11">
        <v>10</v>
      </c>
      <c r="B11">
        <v>2.1</v>
      </c>
    </row>
    <row r="12" spans="1:3" x14ac:dyDescent="0.3">
      <c r="C12" s="29"/>
    </row>
  </sheetData>
  <pageMargins left="0.7" right="0.7" top="0.75" bottom="0.75" header="0.3" footer="0.3"/>
  <pageSetup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9E89"/>
    <pageSetUpPr fitToPage="1"/>
  </sheetPr>
  <dimension ref="A1:J29"/>
  <sheetViews>
    <sheetView showGridLines="0" workbookViewId="0">
      <pane ySplit="8" topLeftCell="A9" activePane="bottomLeft" state="frozen"/>
      <selection pane="bottomLeft" sqref="A1:J1"/>
    </sheetView>
  </sheetViews>
  <sheetFormatPr defaultRowHeight="15.6" x14ac:dyDescent="0.3"/>
  <cols>
    <col min="1" max="1" width="28" customWidth="1"/>
    <col min="2" max="3" width="18" customWidth="1"/>
    <col min="4" max="4" width="19" customWidth="1"/>
    <col min="5" max="5" width="3" customWidth="1"/>
    <col min="6" max="10" width="13" customWidth="1"/>
  </cols>
  <sheetData>
    <row r="1" spans="1:10" ht="30" customHeight="1" x14ac:dyDescent="0.3">
      <c r="A1" s="19" t="s">
        <v>2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x14ac:dyDescent="0.3">
      <c r="A3" s="2" t="s">
        <v>3</v>
      </c>
      <c r="B3" s="3">
        <f>AVERAGE(Data!$B$2:$B$11)/100</f>
        <v>5.0400000000000007E-2</v>
      </c>
    </row>
    <row r="4" spans="1:10" x14ac:dyDescent="0.3">
      <c r="A4" s="2" t="s">
        <v>4</v>
      </c>
      <c r="B4" s="3">
        <f>GEOMEAN(C10:C19)-1</f>
        <v>2.9275463362004928E-2</v>
      </c>
    </row>
    <row r="5" spans="1:10" x14ac:dyDescent="0.3">
      <c r="A5" s="2" t="s">
        <v>5</v>
      </c>
      <c r="B5" s="4">
        <f>D19</f>
        <v>133.44926883033133</v>
      </c>
    </row>
    <row r="9" spans="1:10" x14ac:dyDescent="0.3">
      <c r="A9" s="5" t="s">
        <v>0</v>
      </c>
      <c r="B9" s="5" t="s">
        <v>1</v>
      </c>
      <c r="C9" s="5" t="s">
        <v>6</v>
      </c>
      <c r="D9" s="5" t="s">
        <v>7</v>
      </c>
    </row>
    <row r="10" spans="1:10" x14ac:dyDescent="0.3">
      <c r="A10" s="6">
        <f>Data!A2</f>
        <v>1</v>
      </c>
      <c r="B10" s="7">
        <f>Data!B2</f>
        <v>-22.1</v>
      </c>
      <c r="C10" s="8">
        <f t="shared" ref="C10:C19" si="0">1+B10/100</f>
        <v>0.77900000000000003</v>
      </c>
      <c r="D10" s="9">
        <f>100*C10</f>
        <v>77.900000000000006</v>
      </c>
    </row>
    <row r="11" spans="1:10" x14ac:dyDescent="0.3">
      <c r="A11" s="10">
        <f>Data!A3</f>
        <v>2</v>
      </c>
      <c r="B11" s="11">
        <f>Data!B3</f>
        <v>28.7</v>
      </c>
      <c r="C11" s="12">
        <f t="shared" si="0"/>
        <v>1.2869999999999999</v>
      </c>
      <c r="D11" s="4">
        <f t="shared" ref="D11:D19" si="1">D10*C11</f>
        <v>100.2573</v>
      </c>
    </row>
    <row r="12" spans="1:10" x14ac:dyDescent="0.3">
      <c r="A12" s="6">
        <f>Data!A4</f>
        <v>3</v>
      </c>
      <c r="B12" s="7">
        <f>Data!B4</f>
        <v>10.9</v>
      </c>
      <c r="C12" s="8">
        <f t="shared" si="0"/>
        <v>1.109</v>
      </c>
      <c r="D12" s="9">
        <f t="shared" si="1"/>
        <v>111.1853457</v>
      </c>
    </row>
    <row r="13" spans="1:10" x14ac:dyDescent="0.3">
      <c r="A13" s="10">
        <f>Data!A5</f>
        <v>4</v>
      </c>
      <c r="B13" s="11">
        <f>Data!B5</f>
        <v>4.9000000000000004</v>
      </c>
      <c r="C13" s="12">
        <f t="shared" si="0"/>
        <v>1.0489999999999999</v>
      </c>
      <c r="D13" s="4">
        <f t="shared" si="1"/>
        <v>116.6334276393</v>
      </c>
    </row>
    <row r="14" spans="1:10" x14ac:dyDescent="0.3">
      <c r="A14" s="6">
        <f>Data!A6</f>
        <v>5</v>
      </c>
      <c r="B14" s="7">
        <f>Data!B6</f>
        <v>15.8</v>
      </c>
      <c r="C14" s="8">
        <f t="shared" si="0"/>
        <v>1.1579999999999999</v>
      </c>
      <c r="D14" s="9">
        <f t="shared" si="1"/>
        <v>135.06150920630938</v>
      </c>
    </row>
    <row r="15" spans="1:10" x14ac:dyDescent="0.3">
      <c r="A15" s="10">
        <f>Data!A7</f>
        <v>6</v>
      </c>
      <c r="B15" s="11">
        <f>Data!B7</f>
        <v>5.5</v>
      </c>
      <c r="C15" s="12">
        <f t="shared" si="0"/>
        <v>1.0549999999999999</v>
      </c>
      <c r="D15" s="4">
        <f t="shared" si="1"/>
        <v>142.4898922126564</v>
      </c>
    </row>
    <row r="16" spans="1:10" x14ac:dyDescent="0.3">
      <c r="A16" s="6">
        <f>Data!A8</f>
        <v>7</v>
      </c>
      <c r="B16" s="7">
        <f>Data!B8</f>
        <v>-37</v>
      </c>
      <c r="C16" s="8">
        <f t="shared" si="0"/>
        <v>0.63</v>
      </c>
      <c r="D16" s="9">
        <f t="shared" si="1"/>
        <v>89.768632093973537</v>
      </c>
    </row>
    <row r="17" spans="1:10" x14ac:dyDescent="0.3">
      <c r="A17" s="10">
        <f>Data!A9</f>
        <v>8</v>
      </c>
      <c r="B17" s="11">
        <f>Data!B9</f>
        <v>26.5</v>
      </c>
      <c r="C17" s="12">
        <f t="shared" si="0"/>
        <v>1.2650000000000001</v>
      </c>
      <c r="D17" s="4">
        <f t="shared" si="1"/>
        <v>113.55731959887653</v>
      </c>
    </row>
    <row r="18" spans="1:10" x14ac:dyDescent="0.3">
      <c r="A18" s="6">
        <f>Data!A10</f>
        <v>9</v>
      </c>
      <c r="B18" s="7">
        <f>Data!B10</f>
        <v>15.1</v>
      </c>
      <c r="C18" s="8">
        <f t="shared" si="0"/>
        <v>1.151</v>
      </c>
      <c r="D18" s="9">
        <f t="shared" si="1"/>
        <v>130.7044748583069</v>
      </c>
    </row>
    <row r="19" spans="1:10" x14ac:dyDescent="0.3">
      <c r="A19" s="10">
        <f>Data!A11</f>
        <v>10</v>
      </c>
      <c r="B19" s="11">
        <f>Data!B11</f>
        <v>2.1</v>
      </c>
      <c r="C19" s="12">
        <f t="shared" si="0"/>
        <v>1.0209999999999999</v>
      </c>
      <c r="D19" s="4">
        <f t="shared" si="1"/>
        <v>133.44926883033133</v>
      </c>
    </row>
    <row r="23" spans="1:10" ht="22.05" customHeight="1" x14ac:dyDescent="0.3">
      <c r="A23" s="25" t="s">
        <v>8</v>
      </c>
      <c r="B23" s="20"/>
      <c r="C23" s="20"/>
      <c r="D23" s="20"/>
      <c r="E23" s="20"/>
      <c r="F23" s="20"/>
      <c r="G23" s="20"/>
      <c r="H23" s="20"/>
      <c r="I23" s="20"/>
      <c r="J23" s="20"/>
    </row>
    <row r="24" spans="1:10" ht="22.95" customHeight="1" x14ac:dyDescent="0.3">
      <c r="A24" s="24" t="s">
        <v>9</v>
      </c>
      <c r="B24" s="22"/>
      <c r="C24" s="22"/>
      <c r="D24" s="22"/>
      <c r="E24" s="22"/>
      <c r="F24" s="22"/>
      <c r="G24" s="22"/>
      <c r="H24" s="22"/>
      <c r="I24" s="22"/>
      <c r="J24" s="23"/>
    </row>
    <row r="25" spans="1:10" ht="22.95" customHeight="1" x14ac:dyDescent="0.3">
      <c r="A25" s="28" t="s">
        <v>10</v>
      </c>
      <c r="B25" s="22"/>
      <c r="C25" s="22"/>
      <c r="D25" s="22"/>
      <c r="E25" s="22"/>
      <c r="F25" s="22"/>
      <c r="G25" s="22"/>
      <c r="H25" s="22"/>
      <c r="I25" s="22"/>
      <c r="J25" s="23"/>
    </row>
    <row r="26" spans="1:10" ht="22.95" customHeight="1" x14ac:dyDescent="0.3">
      <c r="A26" s="24" t="s">
        <v>11</v>
      </c>
      <c r="B26" s="22"/>
      <c r="C26" s="22"/>
      <c r="D26" s="22"/>
      <c r="E26" s="22"/>
      <c r="F26" s="22"/>
      <c r="G26" s="22"/>
      <c r="H26" s="22"/>
      <c r="I26" s="22"/>
      <c r="J26" s="23"/>
    </row>
    <row r="27" spans="1:10" ht="34.049999999999997" customHeight="1" x14ac:dyDescent="0.3">
      <c r="A27" s="21" t="s">
        <v>12</v>
      </c>
      <c r="B27" s="22"/>
      <c r="C27" s="22"/>
      <c r="D27" s="22"/>
      <c r="E27" s="22"/>
      <c r="F27" s="22"/>
      <c r="G27" s="22"/>
      <c r="H27" s="22"/>
      <c r="I27" s="22"/>
      <c r="J27" s="23"/>
    </row>
    <row r="28" spans="1:10" ht="22.95" customHeight="1" x14ac:dyDescent="0.3">
      <c r="A28" s="24" t="s">
        <v>13</v>
      </c>
      <c r="B28" s="22"/>
      <c r="C28" s="22"/>
      <c r="D28" s="22"/>
      <c r="E28" s="22"/>
      <c r="F28" s="22"/>
      <c r="G28" s="22"/>
      <c r="H28" s="22"/>
      <c r="I28" s="22"/>
      <c r="J28" s="23"/>
    </row>
    <row r="29" spans="1:10" ht="22.95" customHeight="1" x14ac:dyDescent="0.3">
      <c r="A29" s="28" t="s">
        <v>14</v>
      </c>
      <c r="B29" s="22"/>
      <c r="C29" s="22"/>
      <c r="D29" s="22"/>
      <c r="E29" s="22"/>
      <c r="F29" s="22"/>
      <c r="G29" s="22"/>
      <c r="H29" s="22"/>
      <c r="I29" s="22"/>
      <c r="J29" s="23"/>
    </row>
  </sheetData>
  <mergeCells count="8">
    <mergeCell ref="A1:J1"/>
    <mergeCell ref="A23:J23"/>
    <mergeCell ref="A27:J27"/>
    <mergeCell ref="A29:J29"/>
    <mergeCell ref="A26:J26"/>
    <mergeCell ref="A24:J24"/>
    <mergeCell ref="A28:J28"/>
    <mergeCell ref="A25:J25"/>
  </mergeCells>
  <pageMargins left="0.75" right="0.75" top="1" bottom="1" header="0.5" footer="0.5"/>
  <pageSetup paperSize="9"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9E89"/>
    <pageSetUpPr fitToPage="1"/>
  </sheetPr>
  <dimension ref="A1:H26"/>
  <sheetViews>
    <sheetView showGridLines="0" workbookViewId="0">
      <pane ySplit="3" topLeftCell="A4" activePane="bottomLeft" state="frozen"/>
      <selection pane="bottomLeft" sqref="A1:H1"/>
    </sheetView>
  </sheetViews>
  <sheetFormatPr defaultRowHeight="15.6" x14ac:dyDescent="0.3"/>
  <cols>
    <col min="1" max="1" width="34" customWidth="1"/>
    <col min="2" max="2" width="19" customWidth="1"/>
    <col min="3" max="8" width="3" customWidth="1"/>
  </cols>
  <sheetData>
    <row r="1" spans="1:8" ht="30" customHeight="1" x14ac:dyDescent="0.3">
      <c r="A1" s="19" t="s">
        <v>15</v>
      </c>
      <c r="B1" s="20"/>
      <c r="C1" s="20"/>
      <c r="D1" s="20"/>
      <c r="E1" s="20"/>
      <c r="F1" s="20"/>
      <c r="G1" s="20"/>
      <c r="H1" s="20"/>
    </row>
    <row r="3" spans="1:8" x14ac:dyDescent="0.3">
      <c r="A3" s="5" t="s">
        <v>16</v>
      </c>
      <c r="B3" s="5" t="s">
        <v>17</v>
      </c>
    </row>
    <row r="4" spans="1:8" x14ac:dyDescent="0.3">
      <c r="A4" s="6" t="s">
        <v>18</v>
      </c>
      <c r="B4" s="13">
        <f>COUNT(Data!$B$2:$B$11)</f>
        <v>10</v>
      </c>
    </row>
    <row r="5" spans="1:8" x14ac:dyDescent="0.3">
      <c r="A5" s="10" t="s">
        <v>19</v>
      </c>
      <c r="B5" s="11">
        <f>AVERAGE(Data!$B$2:$B$11)</f>
        <v>5.0400000000000009</v>
      </c>
    </row>
    <row r="6" spans="1:8" x14ac:dyDescent="0.3">
      <c r="A6" s="6" t="s">
        <v>20</v>
      </c>
      <c r="B6" s="7">
        <f>(GEOMEAN('01 Returns and Growth'!C10:C19)-1)*100</f>
        <v>2.9275463362004928</v>
      </c>
    </row>
    <row r="7" spans="1:8" x14ac:dyDescent="0.3">
      <c r="A7" s="10" t="s">
        <v>21</v>
      </c>
      <c r="B7" s="11">
        <f>MEDIAN(Data!$B$2:$B$11)</f>
        <v>8.1999999999999993</v>
      </c>
    </row>
    <row r="8" spans="1:8" x14ac:dyDescent="0.3">
      <c r="A8" s="6" t="s">
        <v>22</v>
      </c>
      <c r="B8" s="7">
        <f>MIN(Data!$B$2:$B$11)</f>
        <v>-37</v>
      </c>
    </row>
    <row r="9" spans="1:8" x14ac:dyDescent="0.3">
      <c r="A9" s="10" t="s">
        <v>23</v>
      </c>
      <c r="B9" s="11">
        <f>MAX(Data!$B$2:$B$11)</f>
        <v>28.7</v>
      </c>
    </row>
    <row r="10" spans="1:8" x14ac:dyDescent="0.3">
      <c r="A10" s="6" t="s">
        <v>24</v>
      </c>
      <c r="B10" s="16">
        <f>B9-B8</f>
        <v>65.7</v>
      </c>
    </row>
    <row r="11" spans="1:8" x14ac:dyDescent="0.3">
      <c r="A11" s="10" t="s">
        <v>25</v>
      </c>
      <c r="B11" s="11">
        <f>_xlfn.PERCENTILE.EXC(Data!$B$2:$B$11,0.25)</f>
        <v>-3.9499999999999993</v>
      </c>
    </row>
    <row r="12" spans="1:8" x14ac:dyDescent="0.3">
      <c r="A12" s="6" t="s">
        <v>26</v>
      </c>
      <c r="B12" s="7">
        <f>_xlfn.PERCENTILE.EXC(Data!$B$2:$B$11,0.75)</f>
        <v>18.475000000000001</v>
      </c>
    </row>
    <row r="13" spans="1:8" x14ac:dyDescent="0.3">
      <c r="A13" s="10" t="s">
        <v>27</v>
      </c>
      <c r="B13" s="17">
        <f>B12-B11</f>
        <v>22.425000000000001</v>
      </c>
    </row>
    <row r="14" spans="1:8" x14ac:dyDescent="0.3">
      <c r="A14" s="6" t="s">
        <v>28</v>
      </c>
      <c r="B14" s="18">
        <f>_xlfn.VAR.S(Data!$B$2:$B$11)</f>
        <v>420.49599999999992</v>
      </c>
    </row>
    <row r="15" spans="1:8" x14ac:dyDescent="0.3">
      <c r="A15" s="10" t="s">
        <v>29</v>
      </c>
      <c r="B15" s="17">
        <f>_xlfn.STDEV.S(Data!$B$2:$B$11)</f>
        <v>20.505999122208113</v>
      </c>
    </row>
    <row r="16" spans="1:8" x14ac:dyDescent="0.3">
      <c r="A16" s="6" t="s">
        <v>30</v>
      </c>
      <c r="B16" s="14">
        <f>SKEW(Data!$B$2:$B$11)</f>
        <v>-1.1069484420215914</v>
      </c>
    </row>
    <row r="17" spans="1:8" x14ac:dyDescent="0.3">
      <c r="A17" s="10" t="s">
        <v>31</v>
      </c>
      <c r="B17" s="15">
        <f>KURT(Data!$B$2:$B$11)</f>
        <v>0.86532446843912947</v>
      </c>
    </row>
    <row r="19" spans="1:8" ht="30" customHeight="1" x14ac:dyDescent="0.3">
      <c r="A19" s="27" t="s">
        <v>32</v>
      </c>
      <c r="B19" s="20"/>
      <c r="C19" s="20"/>
      <c r="D19" s="20"/>
      <c r="E19" s="20"/>
      <c r="F19" s="20"/>
      <c r="G19" s="20"/>
      <c r="H19" s="20"/>
    </row>
    <row r="21" spans="1:8" ht="22.05" customHeight="1" x14ac:dyDescent="0.3">
      <c r="A21" s="25" t="s">
        <v>8</v>
      </c>
      <c r="B21" s="20"/>
      <c r="C21" s="20"/>
      <c r="D21" s="20"/>
      <c r="E21" s="20"/>
      <c r="F21" s="20"/>
      <c r="G21" s="20"/>
      <c r="H21" s="20"/>
    </row>
    <row r="22" spans="1:8" ht="36" customHeight="1" x14ac:dyDescent="0.3">
      <c r="A22" s="24" t="s">
        <v>50</v>
      </c>
      <c r="B22" s="22"/>
      <c r="C22" s="22"/>
      <c r="D22" s="22"/>
      <c r="E22" s="22"/>
      <c r="F22" s="22"/>
      <c r="G22" s="22"/>
      <c r="H22" s="23"/>
    </row>
    <row r="23" spans="1:8" ht="36" customHeight="1" x14ac:dyDescent="0.3">
      <c r="A23" s="21" t="s">
        <v>33</v>
      </c>
      <c r="B23" s="22"/>
      <c r="C23" s="22"/>
      <c r="D23" s="22"/>
      <c r="E23" s="22"/>
      <c r="F23" s="22"/>
      <c r="G23" s="22"/>
      <c r="H23" s="23"/>
    </row>
    <row r="24" spans="1:8" ht="36" customHeight="1" x14ac:dyDescent="0.3">
      <c r="A24" s="26" t="s">
        <v>34</v>
      </c>
      <c r="B24" s="22"/>
      <c r="C24" s="22"/>
      <c r="D24" s="22"/>
      <c r="E24" s="22"/>
      <c r="F24" s="22"/>
      <c r="G24" s="22"/>
      <c r="H24" s="23"/>
    </row>
    <row r="25" spans="1:8" ht="36" customHeight="1" x14ac:dyDescent="0.3">
      <c r="A25" s="21" t="s">
        <v>35</v>
      </c>
      <c r="B25" s="22"/>
      <c r="C25" s="22"/>
      <c r="D25" s="22"/>
      <c r="E25" s="22"/>
      <c r="F25" s="22"/>
      <c r="G25" s="22"/>
      <c r="H25" s="23"/>
    </row>
    <row r="26" spans="1:8" ht="31.05" customHeight="1" x14ac:dyDescent="0.3">
      <c r="A26" s="24" t="s">
        <v>36</v>
      </c>
      <c r="B26" s="22"/>
      <c r="C26" s="22"/>
      <c r="D26" s="22"/>
      <c r="E26" s="22"/>
      <c r="F26" s="22"/>
      <c r="G26" s="22"/>
      <c r="H26" s="23"/>
    </row>
  </sheetData>
  <mergeCells count="8">
    <mergeCell ref="A1:H1"/>
    <mergeCell ref="A23:H23"/>
    <mergeCell ref="A22:H22"/>
    <mergeCell ref="A26:H26"/>
    <mergeCell ref="A21:H21"/>
    <mergeCell ref="A25:H25"/>
    <mergeCell ref="A24:H24"/>
    <mergeCell ref="A19:H19"/>
  </mergeCells>
  <pageMargins left="0.75" right="0.75" top="1" bottom="1" header="0.5" footer="0.5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9E89"/>
  </sheetPr>
  <dimension ref="A1:H29"/>
  <sheetViews>
    <sheetView showGridLines="0" workbookViewId="0">
      <pane ySplit="3" topLeftCell="A4" activePane="bottomLeft" state="frozen"/>
      <selection pane="bottomLeft" sqref="A1:H1"/>
    </sheetView>
  </sheetViews>
  <sheetFormatPr defaultRowHeight="15.6" x14ac:dyDescent="0.3"/>
  <cols>
    <col min="1" max="1" width="17" customWidth="1"/>
    <col min="2" max="2" width="18" customWidth="1"/>
    <col min="3" max="4" width="14" customWidth="1"/>
    <col min="5" max="5" width="16" customWidth="1"/>
    <col min="6" max="8" width="3" customWidth="1"/>
  </cols>
  <sheetData>
    <row r="1" spans="1:8" ht="30" customHeight="1" x14ac:dyDescent="0.3">
      <c r="A1" s="19" t="s">
        <v>37</v>
      </c>
      <c r="B1" s="20"/>
      <c r="C1" s="20"/>
      <c r="D1" s="20"/>
      <c r="E1" s="20"/>
      <c r="F1" s="20"/>
      <c r="G1" s="20"/>
      <c r="H1" s="20"/>
    </row>
    <row r="3" spans="1:8" x14ac:dyDescent="0.3">
      <c r="A3" s="2" t="s">
        <v>38</v>
      </c>
      <c r="B3" s="11">
        <f>AVERAGE(Data!$B$2:$B$11)</f>
        <v>5.0400000000000009</v>
      </c>
    </row>
    <row r="4" spans="1:8" ht="27.6" x14ac:dyDescent="0.3">
      <c r="A4" s="2" t="s">
        <v>29</v>
      </c>
      <c r="B4" s="17">
        <f>_xlfn.STDEV.S(Data!$B$2:$B$11)</f>
        <v>20.505999122208113</v>
      </c>
    </row>
    <row r="5" spans="1:8" x14ac:dyDescent="0.3">
      <c r="A5" s="2" t="s">
        <v>39</v>
      </c>
      <c r="B5" s="11">
        <f>'02 Return Summary'!B11-1.5*'02 Return Summary'!B13</f>
        <v>-37.587500000000006</v>
      </c>
    </row>
    <row r="6" spans="1:8" x14ac:dyDescent="0.3">
      <c r="A6" s="2" t="s">
        <v>40</v>
      </c>
      <c r="B6" s="11">
        <f>'02 Return Summary'!B12+1.5*'02 Return Summary'!B13</f>
        <v>52.112500000000004</v>
      </c>
    </row>
    <row r="7" spans="1:8" x14ac:dyDescent="0.3">
      <c r="A7" s="2" t="s">
        <v>41</v>
      </c>
      <c r="B7" s="10">
        <f>COUNTIF(D12:D21,"Flag")</f>
        <v>0</v>
      </c>
    </row>
    <row r="8" spans="1:8" x14ac:dyDescent="0.3">
      <c r="A8" s="2" t="s">
        <v>42</v>
      </c>
      <c r="B8" s="10">
        <f>COUNTIF(E12:E21,"Flag")</f>
        <v>0</v>
      </c>
    </row>
    <row r="11" spans="1:8" x14ac:dyDescent="0.3">
      <c r="A11" s="5" t="s">
        <v>0</v>
      </c>
      <c r="B11" s="5" t="s">
        <v>1</v>
      </c>
      <c r="C11" s="5" t="s">
        <v>43</v>
      </c>
      <c r="D11" s="5" t="s">
        <v>44</v>
      </c>
      <c r="E11" s="5" t="s">
        <v>45</v>
      </c>
    </row>
    <row r="12" spans="1:8" x14ac:dyDescent="0.3">
      <c r="A12" s="6">
        <f>Data!A2</f>
        <v>1</v>
      </c>
      <c r="B12" s="7">
        <f>Data!B2</f>
        <v>-22.1</v>
      </c>
      <c r="C12" s="14">
        <f t="shared" ref="C12:C21" si="0">(B12-$B$3)/$B$4</f>
        <v>-1.3235151254155291</v>
      </c>
      <c r="D12" s="6" t="str">
        <f t="shared" ref="D12:D21" si="1">IF(OR(B12&lt;$B$5,B12&gt;$B$6),"Flag","")</f>
        <v/>
      </c>
      <c r="E12" s="6" t="str">
        <f t="shared" ref="E12:E21" si="2">IF(ABS(C12)&gt;3,"Flag","")</f>
        <v/>
      </c>
    </row>
    <row r="13" spans="1:8" x14ac:dyDescent="0.3">
      <c r="A13" s="10">
        <f>Data!A3</f>
        <v>2</v>
      </c>
      <c r="B13" s="11">
        <f>Data!B3</f>
        <v>28.7</v>
      </c>
      <c r="C13" s="15">
        <f t="shared" si="0"/>
        <v>1.1538086907638694</v>
      </c>
      <c r="D13" s="10" t="str">
        <f t="shared" si="1"/>
        <v/>
      </c>
      <c r="E13" s="10" t="str">
        <f t="shared" si="2"/>
        <v/>
      </c>
    </row>
    <row r="14" spans="1:8" x14ac:dyDescent="0.3">
      <c r="A14" s="6">
        <f>Data!A4</f>
        <v>3</v>
      </c>
      <c r="B14" s="7">
        <f>Data!B4</f>
        <v>10.9</v>
      </c>
      <c r="C14" s="14">
        <f t="shared" si="0"/>
        <v>0.28577003076400148</v>
      </c>
      <c r="D14" s="6" t="str">
        <f t="shared" si="1"/>
        <v/>
      </c>
      <c r="E14" s="6" t="str">
        <f t="shared" si="2"/>
        <v/>
      </c>
    </row>
    <row r="15" spans="1:8" x14ac:dyDescent="0.3">
      <c r="A15" s="10">
        <f>Data!A5</f>
        <v>4</v>
      </c>
      <c r="B15" s="11">
        <f>Data!B5</f>
        <v>4.9000000000000004</v>
      </c>
      <c r="C15" s="15">
        <f t="shared" si="0"/>
        <v>-6.8272703595495515E-3</v>
      </c>
      <c r="D15" s="10" t="str">
        <f t="shared" si="1"/>
        <v/>
      </c>
      <c r="E15" s="10" t="str">
        <f t="shared" si="2"/>
        <v/>
      </c>
    </row>
    <row r="16" spans="1:8" x14ac:dyDescent="0.3">
      <c r="A16" s="6">
        <f>Data!A6</f>
        <v>5</v>
      </c>
      <c r="B16" s="7">
        <f>Data!B6</f>
        <v>15.8</v>
      </c>
      <c r="C16" s="14">
        <f t="shared" si="0"/>
        <v>0.52472449334823479</v>
      </c>
      <c r="D16" s="6" t="str">
        <f t="shared" si="1"/>
        <v/>
      </c>
      <c r="E16" s="6" t="str">
        <f t="shared" si="2"/>
        <v/>
      </c>
    </row>
    <row r="17" spans="1:8" x14ac:dyDescent="0.3">
      <c r="A17" s="10">
        <f>Data!A7</f>
        <v>6</v>
      </c>
      <c r="B17" s="11">
        <f>Data!B7</f>
        <v>5.5</v>
      </c>
      <c r="C17" s="15">
        <f t="shared" si="0"/>
        <v>2.2432459752805532E-2</v>
      </c>
      <c r="D17" s="10" t="str">
        <f t="shared" si="1"/>
        <v/>
      </c>
      <c r="E17" s="10" t="str">
        <f t="shared" si="2"/>
        <v/>
      </c>
    </row>
    <row r="18" spans="1:8" x14ac:dyDescent="0.3">
      <c r="A18" s="6">
        <f>Data!A8</f>
        <v>7</v>
      </c>
      <c r="B18" s="7">
        <f>Data!B8</f>
        <v>-37</v>
      </c>
      <c r="C18" s="14">
        <f t="shared" si="0"/>
        <v>-2.050131756539014</v>
      </c>
      <c r="D18" s="6" t="str">
        <f t="shared" si="1"/>
        <v/>
      </c>
      <c r="E18" s="6" t="str">
        <f t="shared" si="2"/>
        <v/>
      </c>
    </row>
    <row r="19" spans="1:8" x14ac:dyDescent="0.3">
      <c r="A19" s="10">
        <f>Data!A9</f>
        <v>8</v>
      </c>
      <c r="B19" s="11">
        <f>Data!B9</f>
        <v>26.5</v>
      </c>
      <c r="C19" s="15">
        <f t="shared" si="0"/>
        <v>1.0465230136852341</v>
      </c>
      <c r="D19" s="10" t="str">
        <f t="shared" si="1"/>
        <v/>
      </c>
      <c r="E19" s="10" t="str">
        <f t="shared" si="2"/>
        <v/>
      </c>
    </row>
    <row r="20" spans="1:8" x14ac:dyDescent="0.3">
      <c r="A20" s="6">
        <f>Data!A10</f>
        <v>9</v>
      </c>
      <c r="B20" s="7">
        <f>Data!B10</f>
        <v>15.1</v>
      </c>
      <c r="C20" s="14">
        <f t="shared" si="0"/>
        <v>0.49058814155048713</v>
      </c>
      <c r="D20" s="6" t="str">
        <f t="shared" si="1"/>
        <v/>
      </c>
      <c r="E20" s="6" t="str">
        <f t="shared" si="2"/>
        <v/>
      </c>
    </row>
    <row r="21" spans="1:8" x14ac:dyDescent="0.3">
      <c r="A21" s="10">
        <f>Data!A11</f>
        <v>10</v>
      </c>
      <c r="B21" s="11">
        <f>Data!B11</f>
        <v>2.1</v>
      </c>
      <c r="C21" s="15">
        <f t="shared" si="0"/>
        <v>-0.14337267755054003</v>
      </c>
      <c r="D21" s="10" t="str">
        <f t="shared" si="1"/>
        <v/>
      </c>
      <c r="E21" s="10" t="str">
        <f t="shared" si="2"/>
        <v/>
      </c>
    </row>
    <row r="24" spans="1:8" ht="22.05" customHeight="1" x14ac:dyDescent="0.3">
      <c r="A24" s="25" t="s">
        <v>8</v>
      </c>
      <c r="B24" s="20"/>
      <c r="C24" s="20"/>
      <c r="D24" s="20"/>
      <c r="E24" s="20"/>
      <c r="F24" s="20"/>
      <c r="G24" s="20"/>
      <c r="H24" s="20"/>
    </row>
    <row r="25" spans="1:8" ht="22.95" customHeight="1" x14ac:dyDescent="0.3">
      <c r="A25" s="24" t="s">
        <v>9</v>
      </c>
      <c r="B25" s="22"/>
      <c r="C25" s="22"/>
      <c r="D25" s="22"/>
      <c r="E25" s="22"/>
      <c r="F25" s="22"/>
      <c r="G25" s="22"/>
      <c r="H25" s="23"/>
    </row>
    <row r="26" spans="1:8" ht="31.05" customHeight="1" x14ac:dyDescent="0.3">
      <c r="A26" s="28" t="s">
        <v>46</v>
      </c>
      <c r="B26" s="22"/>
      <c r="C26" s="22"/>
      <c r="D26" s="22"/>
      <c r="E26" s="22"/>
      <c r="F26" s="22"/>
      <c r="G26" s="22"/>
      <c r="H26" s="23"/>
    </row>
    <row r="27" spans="1:8" ht="22.95" customHeight="1" x14ac:dyDescent="0.3">
      <c r="A27" s="24" t="s">
        <v>47</v>
      </c>
      <c r="B27" s="22"/>
      <c r="C27" s="22"/>
      <c r="D27" s="22"/>
      <c r="E27" s="22"/>
      <c r="F27" s="22"/>
      <c r="G27" s="22"/>
      <c r="H27" s="23"/>
    </row>
    <row r="28" spans="1:8" ht="22.95" customHeight="1" x14ac:dyDescent="0.3">
      <c r="A28" s="28" t="s">
        <v>48</v>
      </c>
      <c r="B28" s="22"/>
      <c r="C28" s="22"/>
      <c r="D28" s="22"/>
      <c r="E28" s="22"/>
      <c r="F28" s="22"/>
      <c r="G28" s="22"/>
      <c r="H28" s="23"/>
    </row>
    <row r="29" spans="1:8" ht="31.05" customHeight="1" x14ac:dyDescent="0.3">
      <c r="A29" s="24" t="s">
        <v>49</v>
      </c>
      <c r="B29" s="22"/>
      <c r="C29" s="22"/>
      <c r="D29" s="22"/>
      <c r="E29" s="22"/>
      <c r="F29" s="22"/>
      <c r="G29" s="22"/>
      <c r="H29" s="23"/>
    </row>
  </sheetData>
  <mergeCells count="7">
    <mergeCell ref="A1:H1"/>
    <mergeCell ref="A27:H27"/>
    <mergeCell ref="A26:H26"/>
    <mergeCell ref="A29:H29"/>
    <mergeCell ref="A25:H25"/>
    <mergeCell ref="A24:H24"/>
    <mergeCell ref="A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Data</vt:lpstr>
      <vt:lpstr>01 Returns and Growth</vt:lpstr>
      <vt:lpstr>02 Return Summary</vt:lpstr>
      <vt:lpstr>03 Outlier Review</vt:lpstr>
      <vt:lpstr>'01 Returns and Growth'!Print_Area</vt:lpstr>
      <vt:lpstr>'02 Return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Omer C</cp:lastModifiedBy>
  <cp:lastPrinted>2026-09-21T11:13:49Z</cp:lastPrinted>
  <dcterms:created xsi:type="dcterms:W3CDTF">2013-03-11T15:19:52Z</dcterms:created>
  <dcterms:modified xsi:type="dcterms:W3CDTF">2026-09-22T14:11:15Z</dcterms:modified>
</cp:coreProperties>
</file>