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0" documentId="11_98F8C1F385044402F2443E83862925FA1FDECE2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Project Duration" sheetId="1" r:id="rId1"/>
    <sheet name="02 Investment Outcomes" sheetId="2" r:id="rId2"/>
    <sheet name="03 Permutations Combinations" sheetId="3" r:id="rId3"/>
    <sheet name="04 Tablet Selection" sheetId="4" r:id="rId4"/>
    <sheet name="05 Orders" sheetId="5" r:id="rId5"/>
    <sheet name="06 Invoice Draws" sheetId="6" r:id="rId6"/>
    <sheet name="07 Inspection" sheetId="7" r:id="rId7"/>
    <sheet name="08 Three Warehouses" sheetId="8" r:id="rId8"/>
  </sheets>
  <definedNames>
    <definedName name="_xlnm.Print_Area" localSheetId="0">'01 Project Duration'!$A$1:$H$32</definedName>
    <definedName name="_xlnm.Print_Area" localSheetId="1">'02 Investment Outcomes'!$A$1:$H$31</definedName>
    <definedName name="_xlnm.Print_Area" localSheetId="2">'03 Permutations Combinations'!$A$1:$H$33</definedName>
    <definedName name="_xlnm.Print_Area" localSheetId="3">'04 Tablet Selection'!$A$1:$H$30</definedName>
    <definedName name="_xlnm.Print_Area" localSheetId="4">'05 Orders'!$A$1:$H$38</definedName>
    <definedName name="_xlnm.Print_Area" localSheetId="5">'06 Invoice Draws'!$A$1:$H$31</definedName>
    <definedName name="_xlnm.Print_Area" localSheetId="6">'07 Inspection'!$A$1:$H$39</definedName>
    <definedName name="_xlnm.Print_Area" localSheetId="7">'08 Three Warehouses'!$A$1:$H$21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D7" i="8"/>
  <c r="D6" i="8"/>
  <c r="D5" i="8"/>
  <c r="B28" i="7"/>
  <c r="D20" i="7"/>
  <c r="D13" i="7"/>
  <c r="C8" i="7"/>
  <c r="C7" i="7"/>
  <c r="C5" i="7"/>
  <c r="B21" i="6"/>
  <c r="B17" i="6"/>
  <c r="B11" i="6"/>
  <c r="B10" i="6"/>
  <c r="B7" i="6"/>
  <c r="C7" i="5"/>
  <c r="B7" i="5"/>
  <c r="B22" i="5" s="1"/>
  <c r="D6" i="5"/>
  <c r="B23" i="5" s="1"/>
  <c r="D5" i="5"/>
  <c r="B21" i="5" s="1"/>
  <c r="C20" i="4"/>
  <c r="B20" i="4"/>
  <c r="D20" i="4" s="1"/>
  <c r="C19" i="4"/>
  <c r="B19" i="4"/>
  <c r="D19" i="4" s="1"/>
  <c r="C18" i="4"/>
  <c r="B18" i="4"/>
  <c r="D18" i="4" s="1"/>
  <c r="D21" i="4" s="1"/>
  <c r="B14" i="4"/>
  <c r="B13" i="4"/>
  <c r="B15" i="4" s="1"/>
  <c r="B8" i="4"/>
  <c r="B10" i="4" s="1"/>
  <c r="D26" i="3"/>
  <c r="D24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B19" i="2"/>
  <c r="A19" i="2"/>
  <c r="C19" i="2" s="1"/>
  <c r="D19" i="2" s="1"/>
  <c r="C18" i="2"/>
  <c r="B18" i="2"/>
  <c r="A18" i="2"/>
  <c r="B17" i="2"/>
  <c r="A17" i="2"/>
  <c r="C17" i="2" s="1"/>
  <c r="D17" i="2" s="1"/>
  <c r="B16" i="2"/>
  <c r="A16" i="2"/>
  <c r="C16" i="2" s="1"/>
  <c r="B15" i="2"/>
  <c r="A15" i="2"/>
  <c r="C15" i="2" s="1"/>
  <c r="B14" i="2"/>
  <c r="A14" i="2"/>
  <c r="C14" i="2" s="1"/>
  <c r="B13" i="2"/>
  <c r="A13" i="2"/>
  <c r="C13" i="2" s="1"/>
  <c r="D13" i="2" s="1"/>
  <c r="B12" i="2"/>
  <c r="A12" i="2"/>
  <c r="C12" i="2" s="1"/>
  <c r="B18" i="1"/>
  <c r="A18" i="1"/>
  <c r="C18" i="1" s="1"/>
  <c r="D18" i="1" s="1"/>
  <c r="B17" i="1"/>
  <c r="A17" i="1"/>
  <c r="C17" i="1" s="1"/>
  <c r="D17" i="1" s="1"/>
  <c r="B16" i="1"/>
  <c r="A16" i="1"/>
  <c r="B15" i="1"/>
  <c r="A15" i="1"/>
  <c r="C15" i="1" s="1"/>
  <c r="D15" i="1" s="1"/>
  <c r="B14" i="1"/>
  <c r="A14" i="1"/>
  <c r="B13" i="1"/>
  <c r="A13" i="1"/>
  <c r="C13" i="1" s="1"/>
  <c r="D13" i="1" s="1"/>
  <c r="B12" i="1"/>
  <c r="A12" i="1"/>
  <c r="C12" i="1" s="1"/>
  <c r="D12" i="1" s="1"/>
  <c r="B11" i="1"/>
  <c r="A11" i="1"/>
  <c r="B10" i="1"/>
  <c r="A10" i="1"/>
  <c r="C10" i="1" s="1"/>
  <c r="D25" i="3" l="1"/>
  <c r="D16" i="2"/>
  <c r="C16" i="1"/>
  <c r="D16" i="1" s="1"/>
  <c r="C14" i="1"/>
  <c r="D14" i="1" s="1"/>
  <c r="C11" i="1"/>
  <c r="D14" i="2"/>
  <c r="D18" i="2"/>
  <c r="C28" i="7"/>
  <c r="B20" i="7"/>
  <c r="C20" i="7" s="1"/>
  <c r="B20" i="6"/>
  <c r="B22" i="6" s="1"/>
  <c r="C10" i="6"/>
  <c r="D10" i="6" s="1"/>
  <c r="D13" i="6" s="1"/>
  <c r="B16" i="6"/>
  <c r="B18" i="6" s="1"/>
  <c r="C11" i="6"/>
  <c r="D11" i="6" s="1"/>
  <c r="D8" i="8"/>
  <c r="E5" i="8" s="1"/>
  <c r="D21" i="7"/>
  <c r="D22" i="7"/>
  <c r="B13" i="7"/>
  <c r="C13" i="7" s="1"/>
  <c r="D14" i="7"/>
  <c r="D15" i="7" s="1"/>
  <c r="D7" i="5"/>
  <c r="D10" i="5" s="1"/>
  <c r="D12" i="2"/>
  <c r="B21" i="2"/>
  <c r="D10" i="1"/>
  <c r="D15" i="2"/>
  <c r="D11" i="1" l="1"/>
  <c r="B22" i="1" s="1"/>
  <c r="B21" i="1"/>
  <c r="B20" i="1"/>
  <c r="E6" i="8"/>
  <c r="E8" i="8" s="1"/>
  <c r="E7" i="8"/>
  <c r="B21" i="7"/>
  <c r="B14" i="7"/>
  <c r="B15" i="7" s="1"/>
  <c r="B26" i="7" s="1"/>
  <c r="C14" i="7"/>
  <c r="C15" i="7"/>
  <c r="B27" i="7" s="1"/>
  <c r="D11" i="5"/>
  <c r="B12" i="5"/>
  <c r="C12" i="5"/>
  <c r="B10" i="5"/>
  <c r="C10" i="5"/>
  <c r="B11" i="5"/>
  <c r="C11" i="5"/>
  <c r="D12" i="5"/>
  <c r="B15" i="5"/>
  <c r="B16" i="5"/>
  <c r="B20" i="5" s="1"/>
  <c r="B17" i="5"/>
  <c r="B22" i="2"/>
  <c r="B18" i="5" l="1"/>
  <c r="B19" i="5"/>
  <c r="B24" i="5"/>
  <c r="B25" i="5"/>
  <c r="B27" i="5"/>
  <c r="B22" i="7"/>
  <c r="C26" i="7" s="1"/>
  <c r="C21" i="7"/>
  <c r="C22" i="7" s="1"/>
  <c r="C27" i="7" s="1"/>
  <c r="B26" i="5" l="1"/>
</calcChain>
</file>

<file path=xl/sharedStrings.xml><?xml version="1.0" encoding="utf-8"?>
<sst xmlns="http://schemas.openxmlformats.org/spreadsheetml/2006/main" count="243" uniqueCount="205">
  <si>
    <t>Week 4: Project Duration: Beta Energy</t>
  </si>
  <si>
    <t>Source: Week 4 lecture examples. Inputs are entered directly; calculated cells contain formulas.</t>
  </si>
  <si>
    <t>Design options (months)</t>
  </si>
  <si>
    <t>Construction options (months)</t>
  </si>
  <si>
    <t>Completion target (months)</t>
  </si>
  <si>
    <t>Design months</t>
  </si>
  <si>
    <t>Construction months</t>
  </si>
  <si>
    <t>Total months</t>
  </si>
  <si>
    <t>Within target: 1=yes</t>
  </si>
  <si>
    <t>Outcome pairs</t>
  </si>
  <si>
    <t>Distinct total times</t>
  </si>
  <si>
    <t>Pairs within target</t>
  </si>
  <si>
    <t>Nine pairs produce five total times. Six pairs meet the target; this is not a probability of 6/9 unless the pairs are equally likely.</t>
  </si>
  <si>
    <t>How to recreate this output in Excel</t>
  </si>
  <si>
    <t>1. Enter the design and construction options in A5:B7 and the target in C5.</t>
  </si>
  <si>
    <t>2. List all nine pairs in A10:B18. Repeat each design option with all three construction options, using references such as =A5 and =B5.</t>
  </si>
  <si>
    <t>3. In C10 enter =A10+B10. Drag the fill handle at the bottom-right corner of C10 down to C18.</t>
  </si>
  <si>
    <t>4. In D10 enter =IF(C10&lt;=$C$5,1,0) and fill down to D18. The dollar signs keep the target cell fixed.</t>
  </si>
  <si>
    <t>5. Use =COUNT(C10:C18) for the pairs and =SUM(D10:D18) for those meeting the target.</t>
  </si>
  <si>
    <t>6. Copy C10:C18 to an unused area with Paste Special, Values. Select the copy and choose Data, Remove Duplicates to identify the five totals. B21 counts them by formula.</t>
  </si>
  <si>
    <t>Week 4: Investment Outcomes: Gamma and Delta</t>
  </si>
  <si>
    <t>Gamma outcomes</t>
  </si>
  <si>
    <t>Delta outcomes</t>
  </si>
  <si>
    <t>All amounts are in thousands of dollars. Every listed pair is possible.</t>
  </si>
  <si>
    <t>Gamma gain/loss</t>
  </si>
  <si>
    <t>Delta gain/loss</t>
  </si>
  <si>
    <t>Combined gain/loss</t>
  </si>
  <si>
    <t>Occurrences of this total</t>
  </si>
  <si>
    <t>Distinct combined totals</t>
  </si>
  <si>
    <t>The total 8 occurs twice: 10 + (-2) and 0 + 8. Eight outcome pairs give seven distinct totals. No probabilities are assigned.</t>
  </si>
  <si>
    <t>1. Enter the four Gamma outcomes in A5:A8 and the two Delta outcomes in B5:B6.</t>
  </si>
  <si>
    <t>2. List all eight pairs in A12:B19 using references to the input cells.</t>
  </si>
  <si>
    <t>3. Enter =A12+B12 in C12 and fill down to C19.</t>
  </si>
  <si>
    <t>4. Enter =COUNTIF($C$12:$C$19,C12) in D12 and fill down. A value of 2 identifies a repeated total.</t>
  </si>
  <si>
    <t>5. Use =COUNT(C12:C19) for the number of pairs. Copy the totals elsewhere with Paste Special, Values, then Data, Remove Duplicates to check the seven distinct totals.</t>
  </si>
  <si>
    <t>Week 4: Permutations and Combinations</t>
  </si>
  <si>
    <t>Example</t>
  </si>
  <si>
    <t>n</t>
  </si>
  <si>
    <t>r</t>
  </si>
  <si>
    <t>Step-by-step result</t>
  </si>
  <si>
    <t>Excel function result</t>
  </si>
  <si>
    <t>Lead and backup</t>
  </si>
  <si>
    <t>Three-person committee</t>
  </si>
  <si>
    <t>Alpha, Beta, Gamma: pair</t>
  </si>
  <si>
    <t>Alpha, Beta, Gamma: order</t>
  </si>
  <si>
    <t>Inspect parts: unordered pair</t>
  </si>
  <si>
    <t>Inspect parts: first and second</t>
  </si>
  <si>
    <t>Three-letter product code</t>
  </si>
  <si>
    <t>Lead, reviewer, presenter</t>
  </si>
  <si>
    <t>Client visit sequence</t>
  </si>
  <si>
    <t>Order all four presentations</t>
  </si>
  <si>
    <t>Fund three projects</t>
  </si>
  <si>
    <t>Select four audit invoices</t>
  </si>
  <si>
    <t>Lottery: five from forty</t>
  </si>
  <si>
    <t>The expanded calculations use the fixed r shown in column C. Change n only when exploring these rows.</t>
  </si>
  <si>
    <t>Rule</t>
  </si>
  <si>
    <t>Formula</t>
  </si>
  <si>
    <t>Order matters: P(n,r) = n! / (n-r)! . Order does not matter: C(n,r) = n! / [r!(n-r)!].</t>
  </si>
  <si>
    <t>Orders per three-person group</t>
  </si>
  <si>
    <t>Ordered selections of three</t>
  </si>
  <si>
    <t>Check using PERMUT</t>
  </si>
  <si>
    <t>1. Enter the example sizes in columns B and C. Decide whether roles or order distinguish the outcomes.</t>
  </si>
  <si>
    <t>2. For lead and backup, enter =B5*(B5-1) in D5, then =PERMUT(B5,C5) in E5. Both give 30.</t>
  </si>
  <si>
    <t>3. For the committee, enter =B6*(B6-1)*(B6-2)/(3*2*1) in D6, then =COMBIN(B6,C6) in E6. Both give 20.</t>
  </si>
  <si>
    <t>4. Select each result in column D to inspect its multiplication and division in the formula bar. Use the corresponding PERMUT or COMBIN formula in E.</t>
  </si>
  <si>
    <t>5. Enter =FACT(C6) in D24 and =E6*D24 in D25. Compare with =PERMUT(B6,C6) in D26: each group has r! orders.</t>
  </si>
  <si>
    <t>Week 4: Combinations: Tablet Selection</t>
  </si>
  <si>
    <t>Brand</t>
  </si>
  <si>
    <t>Available tablets</t>
  </si>
  <si>
    <t>Apple</t>
  </si>
  <si>
    <t>Samsung</t>
  </si>
  <si>
    <t>Huawei</t>
  </si>
  <si>
    <t>Total</t>
  </si>
  <si>
    <t>All selections of three</t>
  </si>
  <si>
    <t>Exactly two Apple, one Samsung</t>
  </si>
  <si>
    <t>Number of choices</t>
  </si>
  <si>
    <t>Choose the Apple pair</t>
  </si>
  <si>
    <t>Choose one Samsung</t>
  </si>
  <si>
    <t>Combine the choices</t>
  </si>
  <si>
    <t>Exactly two brands</t>
  </si>
  <si>
    <t>Two of first, one of second</t>
  </si>
  <si>
    <t>One of first, two of second</t>
  </si>
  <si>
    <t>Apple and Samsung</t>
  </si>
  <si>
    <t>Apple and Huawei</t>
  </si>
  <si>
    <t>Samsung and Huawei</t>
  </si>
  <si>
    <t>Exactly two brands: total</t>
  </si>
  <si>
    <t>Individual physical tablets are distinct. Order does not matter. Each selection counted in rows 18:20 has exactly two brands, not all three.</t>
  </si>
  <si>
    <t>1. Enter the inventory in B5:B7. In B8 enter =SUM(B5:B7).</t>
  </si>
  <si>
    <t>2. In B10 enter =COMBIN(B8,3) to select three tablets from the full inventory.</t>
  </si>
  <si>
    <t>3. In B13 enter =COMBIN(B5,2); in B14 enter =COMBIN(B6,1). Multiply with =B13*B14 in B15.</t>
  </si>
  <si>
    <t>4. For Apple and Samsung, enter =COMBIN(B5,2)*COMBIN(B6,1) in B18 and =COMBIN(B5,1)*COMBIN(B6,2) in C18.</t>
  </si>
  <si>
    <t>5. Repeat for Apple/Huawei and Samsung/Huawei using their inventory cells. Sum each row in D18:D20, then =SUM(D18:D20) in D21.</t>
  </si>
  <si>
    <t>Week 4: Orders: Counts and Probabilities</t>
  </si>
  <si>
    <t>Delivery</t>
  </si>
  <si>
    <t>Complaint</t>
  </si>
  <si>
    <t>No complaint</t>
  </si>
  <si>
    <t>Late</t>
  </si>
  <si>
    <t>On time</t>
  </si>
  <si>
    <t>Joint and marginal probabilities</t>
  </si>
  <si>
    <t>Quantity</t>
  </si>
  <si>
    <t>Probability</t>
  </si>
  <si>
    <t>Numerical calculation</t>
  </si>
  <si>
    <t>Late: P(L)</t>
  </si>
  <si>
    <t>50 / 200</t>
  </si>
  <si>
    <t>Complaint: P(C)</t>
  </si>
  <si>
    <t>45 / 200</t>
  </si>
  <si>
    <t>Both: P(L and C)</t>
  </si>
  <si>
    <t>30 / 200</t>
  </si>
  <si>
    <t>Late or complaint</t>
  </si>
  <si>
    <t>0.25 + 0.225 - 0.15</t>
  </si>
  <si>
    <t>Not late</t>
  </si>
  <si>
    <t>1 - 0.25</t>
  </si>
  <si>
    <t>1 - 0.225</t>
  </si>
  <si>
    <t>Complaint given late</t>
  </si>
  <si>
    <t>30 / 50</t>
  </si>
  <si>
    <t>Late given complaint</t>
  </si>
  <si>
    <t>30 / 45</t>
  </si>
  <si>
    <t>Complaint given on time</t>
  </si>
  <si>
    <t>15 / 150</t>
  </si>
  <si>
    <t>Both, by multiplication</t>
  </si>
  <si>
    <t>0.25 x 0.60</t>
  </si>
  <si>
    <t>Complaint, by total probability</t>
  </si>
  <si>
    <t>0.25 x 0.60 + 0.75 x 0.10</t>
  </si>
  <si>
    <t>Late given complaint, by Bayes</t>
  </si>
  <si>
    <t>0.15 / 0.225</t>
  </si>
  <si>
    <t>Product if independent: P(L)P(C)</t>
  </si>
  <si>
    <t>0.25 x 0.225</t>
  </si>
  <si>
    <t>The numerical calculations shown in column C describe the original inputs. Formula results in column B update when the four input counts change.</t>
  </si>
  <si>
    <t>With the lecture counts, P(L and C) = 15%, while P(L)P(C) = 5.625%. The events are not independent. The two conditional probabilities also differ.</t>
  </si>
  <si>
    <t>1. Enter only the four interior counts in B5:C6. Use SUM for row totals D5:D6, column totals B7:C7, and the grand total D7.</t>
  </si>
  <si>
    <t>2. In B10 enter =B5/$D$7. Fill across to D10, then down through D12. Select B10:D12 and apply Percentage formatting.</t>
  </si>
  <si>
    <t>3. For a joint probability, divide an interior count by D7. For a union, add the marginal probabilities and subtract the overlap: =B15+B16-B17.</t>
  </si>
  <si>
    <t>4. For complaint given late, use =B5/D5 in B21. For late given complaint, use =B5/B7 in B22. The known group determines the denominator.</t>
  </si>
  <si>
    <t>5. Calculate B24 as =B15*B21 and B25 as =B15*B21+B19*B23. For the reversed condition, enter =B24/B25 in B26.</t>
  </si>
  <si>
    <t>6. Enter =B15*B16 in B27 and compare with B17 to check independence. If changing inputs, keep the late, on-time, and complaint totals positive.</t>
  </si>
  <si>
    <t>Week 4: Two Invoice Draws Without Replacement</t>
  </si>
  <si>
    <t>Batch</t>
  </si>
  <si>
    <t>Count</t>
  </si>
  <si>
    <t>Overdue</t>
  </si>
  <si>
    <t>Current</t>
  </si>
  <si>
    <t>Stage</t>
  </si>
  <si>
    <t>Overdue available</t>
  </si>
  <si>
    <t>Total available</t>
  </si>
  <si>
    <t>First draw</t>
  </si>
  <si>
    <t>Second draw, given first overdue</t>
  </si>
  <si>
    <t>Both overdue</t>
  </si>
  <si>
    <t>Counting check</t>
  </si>
  <si>
    <t>All ordered pairs</t>
  </si>
  <si>
    <t>Ordered pairs: both overdue</t>
  </si>
  <si>
    <t>Probability from ordered pairs</t>
  </si>
  <si>
    <t>All unordered pairs</t>
  </si>
  <si>
    <t>Unordered pairs: both overdue</t>
  </si>
  <si>
    <t>Probability from unordered pairs</t>
  </si>
  <si>
    <t>Draws are uniformly random. After an overdue first draw, both the overdue count and total count decrease by one. All three methods give 6.67%.</t>
  </si>
  <si>
    <t>1. Enter overdue and current counts in B5:B6 and =SUM(B5:B6) in B7.</t>
  </si>
  <si>
    <t>2. For the first draw, link B10 to B5 and C10 to B7. Enter =B10/C10 in D10.</t>
  </si>
  <si>
    <t>3. For the second draw given the first was overdue, enter =B5-1 in B11 and =B7-1 in C11. Enter =B11/C11 in D11.</t>
  </si>
  <si>
    <t>4. In D13 enter =D10*D11. Format the result as a percentage.</t>
  </si>
  <si>
    <t>5. Check using ordered pairs: =B7*(B7-1) and =B5*(B5-1), then divide. For unordered pairs, use COMBIN with r=2 and divide again.</t>
  </si>
  <si>
    <t>Week 4: Inspection and the Base Rate</t>
  </si>
  <si>
    <t>Input</t>
  </si>
  <si>
    <t>10% defect scenario</t>
  </si>
  <si>
    <t>25% defect scenario</t>
  </si>
  <si>
    <t>Units</t>
  </si>
  <si>
    <t>Defect rate</t>
  </si>
  <si>
    <t>Flag given defective</t>
  </si>
  <si>
    <t>Flag given acceptable</t>
  </si>
  <si>
    <t>Expected counts: scenario in column B</t>
  </si>
  <si>
    <t>Actual status</t>
  </si>
  <si>
    <t>Flagged</t>
  </si>
  <si>
    <t>Not flagged</t>
  </si>
  <si>
    <t>Defective</t>
  </si>
  <si>
    <t>Acceptable</t>
  </si>
  <si>
    <t>Expected counts: scenario in column C</t>
  </si>
  <si>
    <t>Conditional probability</t>
  </si>
  <si>
    <t>Scenario B</t>
  </si>
  <si>
    <t>Scenario C</t>
  </si>
  <si>
    <t>Defective given flag</t>
  </si>
  <si>
    <t>Defective given no flag</t>
  </si>
  <si>
    <t>Defective given flag: Bayes check</t>
  </si>
  <si>
    <t>The positive-flag result changes from 30.77% to 57.14% when the defect rate rises from 10% to 25%. Screening accuracy is unchanged.</t>
  </si>
  <si>
    <t>These are expected counts, not observed records. Changed inputs can produce fractional expected counts; keep their full values in the formulas.</t>
  </si>
  <si>
    <t>1. Enter units, defect rates, and flag rates in B5:B8 and C6. Link C5 to B5, C7 to B7, and C8 to B8 to keep size and accuracy the same.</t>
  </si>
  <si>
    <t>2. For scenario B, calculate defective units in D13 with =B5*B6. In B13 enter =D13*B7; in C13 enter =D13-B13.</t>
  </si>
  <si>
    <t>3. In D14 enter =B5-D13. In B14 enter =D14*B8; in C14 enter =D14-B14. Sum each column in row 15.</t>
  </si>
  <si>
    <t>4. Repeat in rows 20:22 with inputs from column C. Keep the calculations linked to the input cells.</t>
  </si>
  <si>
    <t>5. For defective given flag, divide flagged defective units by all flagged units: =B13/B15 and =B20/B22. For no flag, use columns C of the count tables.</t>
  </si>
  <si>
    <t>6. Check with =B6*B7/(B6*B7+(1-B6)*B8). Change a defect-rate input to see why a flag is not the same as a confirmed defect.</t>
  </si>
  <si>
    <t>Week 4: Bayes: Three Warehouses</t>
  </si>
  <si>
    <t>Warehouse</t>
  </si>
  <si>
    <t>Share of shipments</t>
  </si>
  <si>
    <t>Late rate</t>
  </si>
  <si>
    <t>Joint: warehouse and late</t>
  </si>
  <si>
    <t>Warehouse given late</t>
  </si>
  <si>
    <t>W1</t>
  </si>
  <si>
    <t>W2</t>
  </si>
  <si>
    <t>W3</t>
  </si>
  <si>
    <t>The shipment shares must sum to 100%. The total late probability is 5.8%. Keep it positive when changing inputs.</t>
  </si>
  <si>
    <t>W1 and W3 each account for 2% of all shipments that are also late. Each therefore accounts for 34.48% of late shipments, despite different late rates.</t>
  </si>
  <si>
    <t>1. Enter warehouse shares in B5:B7 and late rates in C5:C7. Enter percentages with the % sign, for example 50%.</t>
  </si>
  <si>
    <t>2. In B8 enter =SUM(B5:B7). Confirm that the result is 100%.</t>
  </si>
  <si>
    <t>3. In D5 enter =B5*C5 and fill down to D7. These are joint probabilities.</t>
  </si>
  <si>
    <t>4. In D8 enter =SUM(D5:D7). This is the probability that a shipment is late.</t>
  </si>
  <si>
    <t>5. In E5 enter =D5/$D$8 and fill down to E7. The dollar signs keep the denominator fixed.</t>
  </si>
  <si>
    <t>6. In E8 enter =SUM(E5:E7). Confirm 100%. Compare E5:E7, not C5:C7, to identify the most likely source after observing a late shipment.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</si>
</sst>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  <family val="2"/>
    </font>
    <font>
      <sz val="10"/>
      <name val="Aptos"/>
      <family val="2"/>
    </font>
    <font>
      <b/>
      <sz val="10"/>
      <color rgb="FFFFFFFF"/>
      <name val="Aptos"/>
      <family val="2"/>
    </font>
    <font>
      <b/>
      <sz val="12"/>
      <color rgb="FFFFFFFF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1F9E89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1" fontId="2" fillId="3" borderId="2" xfId="0" applyNumberFormat="1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/>
    <xf numFmtId="3" fontId="2" fillId="3" borderId="2" xfId="0" applyNumberFormat="1" applyFont="1" applyFill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164" fontId="2" fillId="3" borderId="2" xfId="0" applyNumberFormat="1" applyFont="1" applyFill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0" fontId="2" fillId="3" borderId="2" xfId="0" applyNumberFormat="1" applyFont="1" applyFill="1" applyBorder="1" applyAlignment="1">
      <alignment vertical="center" wrapText="1"/>
    </xf>
    <xf numFmtId="10" fontId="2" fillId="0" borderId="2" xfId="0" applyNumberFormat="1" applyFont="1" applyBorder="1" applyAlignment="1">
      <alignment vertical="center" wrapText="1"/>
    </xf>
    <xf numFmtId="0" fontId="4" fillId="4" borderId="0" xfId="0" applyFont="1" applyFill="1" applyAlignment="1">
      <alignment horizontal="left" vertical="center"/>
    </xf>
    <xf numFmtId="0" fontId="0" fillId="0" borderId="3" xfId="0" applyBorder="1"/>
    <xf numFmtId="0" fontId="2" fillId="3" borderId="2" xfId="0" applyFont="1" applyFill="1" applyBorder="1" applyAlignment="1">
      <alignment vertical="top" wrapText="1"/>
    </xf>
    <xf numFmtId="0" fontId="0" fillId="0" borderId="4" xfId="0" applyBorder="1"/>
    <xf numFmtId="0" fontId="2" fillId="5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4" width="26" style="6" customWidth="1"/>
    <col min="5" max="8" width="3" style="6" customWidth="1"/>
  </cols>
  <sheetData>
    <row r="1" spans="1:8" ht="30" customHeight="1" x14ac:dyDescent="0.3">
      <c r="A1" s="19" t="s">
        <v>0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2</v>
      </c>
      <c r="B4" s="1" t="s">
        <v>3</v>
      </c>
      <c r="C4" s="1" t="s">
        <v>4</v>
      </c>
      <c r="D4" s="1"/>
    </row>
    <row r="5" spans="1:8" ht="19.05" customHeight="1" x14ac:dyDescent="0.3">
      <c r="A5" s="2">
        <v>2</v>
      </c>
      <c r="B5" s="2">
        <v>6</v>
      </c>
      <c r="C5" s="2">
        <v>10</v>
      </c>
    </row>
    <row r="6" spans="1:8" ht="19.05" customHeight="1" x14ac:dyDescent="0.3">
      <c r="A6" s="3">
        <v>3</v>
      </c>
      <c r="B6" s="3">
        <v>7</v>
      </c>
    </row>
    <row r="7" spans="1:8" ht="19.05" customHeight="1" x14ac:dyDescent="0.3">
      <c r="A7" s="2">
        <v>4</v>
      </c>
      <c r="B7" s="2">
        <v>8</v>
      </c>
    </row>
    <row r="9" spans="1:8" ht="30" customHeight="1" x14ac:dyDescent="0.3">
      <c r="A9" s="1" t="s">
        <v>5</v>
      </c>
      <c r="B9" s="1" t="s">
        <v>6</v>
      </c>
      <c r="C9" s="1" t="s">
        <v>7</v>
      </c>
      <c r="D9" s="1" t="s">
        <v>8</v>
      </c>
    </row>
    <row r="10" spans="1:8" ht="19.05" customHeight="1" x14ac:dyDescent="0.3">
      <c r="A10" s="4">
        <f>A5</f>
        <v>2</v>
      </c>
      <c r="B10" s="4">
        <f>B5</f>
        <v>6</v>
      </c>
      <c r="C10" s="4">
        <f t="shared" ref="C10:C18" si="0">A10+B10</f>
        <v>8</v>
      </c>
      <c r="D10" s="4">
        <f t="shared" ref="D10:D18" si="1">IF(C10&lt;=$C$5,1,0)</f>
        <v>1</v>
      </c>
    </row>
    <row r="11" spans="1:8" ht="19.05" customHeight="1" x14ac:dyDescent="0.3">
      <c r="A11" s="5">
        <f>A5</f>
        <v>2</v>
      </c>
      <c r="B11" s="5">
        <f>B6</f>
        <v>7</v>
      </c>
      <c r="C11" s="5">
        <f t="shared" si="0"/>
        <v>9</v>
      </c>
      <c r="D11" s="5">
        <f t="shared" si="1"/>
        <v>1</v>
      </c>
    </row>
    <row r="12" spans="1:8" ht="19.05" customHeight="1" x14ac:dyDescent="0.3">
      <c r="A12" s="4">
        <f>A5</f>
        <v>2</v>
      </c>
      <c r="B12" s="4">
        <f>B7</f>
        <v>8</v>
      </c>
      <c r="C12" s="4">
        <f t="shared" si="0"/>
        <v>10</v>
      </c>
      <c r="D12" s="4">
        <f t="shared" si="1"/>
        <v>1</v>
      </c>
    </row>
    <row r="13" spans="1:8" ht="19.05" customHeight="1" x14ac:dyDescent="0.3">
      <c r="A13" s="5">
        <f>A6</f>
        <v>3</v>
      </c>
      <c r="B13" s="5">
        <f>B5</f>
        <v>6</v>
      </c>
      <c r="C13" s="5">
        <f t="shared" si="0"/>
        <v>9</v>
      </c>
      <c r="D13" s="5">
        <f t="shared" si="1"/>
        <v>1</v>
      </c>
    </row>
    <row r="14" spans="1:8" ht="19.05" customHeight="1" x14ac:dyDescent="0.3">
      <c r="A14" s="4">
        <f>A6</f>
        <v>3</v>
      </c>
      <c r="B14" s="4">
        <f>B6</f>
        <v>7</v>
      </c>
      <c r="C14" s="4">
        <f t="shared" si="0"/>
        <v>10</v>
      </c>
      <c r="D14" s="4">
        <f t="shared" si="1"/>
        <v>1</v>
      </c>
    </row>
    <row r="15" spans="1:8" ht="19.05" customHeight="1" x14ac:dyDescent="0.3">
      <c r="A15" s="5">
        <f>A6</f>
        <v>3</v>
      </c>
      <c r="B15" s="5">
        <f>B7</f>
        <v>8</v>
      </c>
      <c r="C15" s="5">
        <f t="shared" si="0"/>
        <v>11</v>
      </c>
      <c r="D15" s="5">
        <f t="shared" si="1"/>
        <v>0</v>
      </c>
    </row>
    <row r="16" spans="1:8" ht="19.05" customHeight="1" x14ac:dyDescent="0.3">
      <c r="A16" s="4">
        <f>A7</f>
        <v>4</v>
      </c>
      <c r="B16" s="4">
        <f>B5</f>
        <v>6</v>
      </c>
      <c r="C16" s="4">
        <f t="shared" si="0"/>
        <v>10</v>
      </c>
      <c r="D16" s="4">
        <f t="shared" si="1"/>
        <v>1</v>
      </c>
    </row>
    <row r="17" spans="1:8" ht="19.05" customHeight="1" x14ac:dyDescent="0.3">
      <c r="A17" s="5">
        <f>A7</f>
        <v>4</v>
      </c>
      <c r="B17" s="5">
        <f>B6</f>
        <v>7</v>
      </c>
      <c r="C17" s="5">
        <f t="shared" si="0"/>
        <v>11</v>
      </c>
      <c r="D17" s="5">
        <f t="shared" si="1"/>
        <v>0</v>
      </c>
    </row>
    <row r="18" spans="1:8" ht="19.05" customHeight="1" x14ac:dyDescent="0.3">
      <c r="A18" s="4">
        <f>A7</f>
        <v>4</v>
      </c>
      <c r="B18" s="4">
        <f>B7</f>
        <v>8</v>
      </c>
      <c r="C18" s="4">
        <f t="shared" si="0"/>
        <v>12</v>
      </c>
      <c r="D18" s="4">
        <f t="shared" si="1"/>
        <v>0</v>
      </c>
    </row>
    <row r="20" spans="1:8" ht="19.05" customHeight="1" x14ac:dyDescent="0.3">
      <c r="A20" s="4" t="s">
        <v>9</v>
      </c>
      <c r="B20" s="4">
        <f>COUNT(C10:C18)</f>
        <v>9</v>
      </c>
    </row>
    <row r="21" spans="1:8" ht="19.05" customHeight="1" x14ac:dyDescent="0.3">
      <c r="A21" s="5" t="s">
        <v>10</v>
      </c>
      <c r="B21" s="5">
        <f>SUMPRODUCT(1/COUNTIF(C10:C18,C10:C18))</f>
        <v>5</v>
      </c>
    </row>
    <row r="22" spans="1:8" ht="19.05" customHeight="1" x14ac:dyDescent="0.3">
      <c r="A22" s="4" t="s">
        <v>11</v>
      </c>
      <c r="B22" s="4">
        <f>SUM(D10:D18)</f>
        <v>6</v>
      </c>
    </row>
    <row r="24" spans="1:8" ht="22.95" customHeight="1" x14ac:dyDescent="0.3">
      <c r="A24" s="18" t="s">
        <v>12</v>
      </c>
      <c r="B24" s="14"/>
      <c r="C24" s="14"/>
      <c r="D24" s="14"/>
      <c r="E24" s="14"/>
      <c r="F24" s="14"/>
      <c r="G24" s="14"/>
      <c r="H24" s="14"/>
    </row>
    <row r="26" spans="1:8" ht="22.05" customHeight="1" x14ac:dyDescent="0.3">
      <c r="A26" s="13" t="s">
        <v>13</v>
      </c>
      <c r="B26" s="14"/>
      <c r="C26" s="14"/>
      <c r="D26" s="14"/>
      <c r="E26" s="14"/>
      <c r="F26" s="14"/>
      <c r="G26" s="14"/>
      <c r="H26" s="14"/>
    </row>
    <row r="27" spans="1:8" ht="22.95" customHeight="1" x14ac:dyDescent="0.3">
      <c r="A27" s="17" t="s">
        <v>14</v>
      </c>
      <c r="B27" s="14"/>
      <c r="C27" s="14"/>
      <c r="D27" s="14"/>
      <c r="E27" s="14"/>
      <c r="F27" s="14"/>
      <c r="G27" s="14"/>
      <c r="H27" s="16"/>
    </row>
    <row r="28" spans="1:8" ht="22.95" customHeight="1" x14ac:dyDescent="0.3">
      <c r="A28" s="15" t="s">
        <v>15</v>
      </c>
      <c r="B28" s="14"/>
      <c r="C28" s="14"/>
      <c r="D28" s="14"/>
      <c r="E28" s="14"/>
      <c r="F28" s="14"/>
      <c r="G28" s="14"/>
      <c r="H28" s="16"/>
    </row>
    <row r="29" spans="1:8" ht="22.95" customHeight="1" x14ac:dyDescent="0.3">
      <c r="A29" s="17" t="s">
        <v>16</v>
      </c>
      <c r="B29" s="14"/>
      <c r="C29" s="14"/>
      <c r="D29" s="14"/>
      <c r="E29" s="14"/>
      <c r="F29" s="14"/>
      <c r="G29" s="14"/>
      <c r="H29" s="16"/>
    </row>
    <row r="30" spans="1:8" ht="22.95" customHeight="1" x14ac:dyDescent="0.3">
      <c r="A30" s="15" t="s">
        <v>17</v>
      </c>
      <c r="B30" s="14"/>
      <c r="C30" s="14"/>
      <c r="D30" s="14"/>
      <c r="E30" s="14"/>
      <c r="F30" s="14"/>
      <c r="G30" s="14"/>
      <c r="H30" s="16"/>
    </row>
    <row r="31" spans="1:8" ht="22.95" customHeight="1" x14ac:dyDescent="0.3">
      <c r="A31" s="17" t="s">
        <v>18</v>
      </c>
      <c r="B31" s="14"/>
      <c r="C31" s="14"/>
      <c r="D31" s="14"/>
      <c r="E31" s="14"/>
      <c r="F31" s="14"/>
      <c r="G31" s="14"/>
      <c r="H31" s="16"/>
    </row>
    <row r="32" spans="1:8" ht="36" customHeight="1" x14ac:dyDescent="0.3">
      <c r="A32" s="15" t="s">
        <v>19</v>
      </c>
      <c r="B32" s="14"/>
      <c r="C32" s="14"/>
      <c r="D32" s="14"/>
      <c r="E32" s="14"/>
      <c r="F32" s="14"/>
      <c r="G32" s="14"/>
      <c r="H32" s="16"/>
    </row>
  </sheetData>
  <mergeCells count="10">
    <mergeCell ref="A1:H1"/>
    <mergeCell ref="A32:H32"/>
    <mergeCell ref="A27:H27"/>
    <mergeCell ref="A31:H31"/>
    <mergeCell ref="A26:H26"/>
    <mergeCell ref="A30:H30"/>
    <mergeCell ref="A29:H29"/>
    <mergeCell ref="A24:H24"/>
    <mergeCell ref="A2:H2"/>
    <mergeCell ref="A28:H28"/>
  </mergeCells>
  <dataValidations count="1">
    <dataValidation type="whole" showErrorMessage="1" errorTitle="Check the input" error="Enter a value between 0 and 1000000." sqref="A5:B7 C5" xr:uid="{00000000-0002-0000-0000-000000000000}">
      <formula1>0</formula1>
      <formula2>1000000</formula2>
    </dataValidation>
  </dataValidations>
  <pageMargins left="0.3" right="0.3" top="0.5" bottom="0.5" header="0.2" footer="0.2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3" width="28" style="6" customWidth="1"/>
    <col min="4" max="4" width="24" style="6" customWidth="1"/>
    <col min="5" max="8" width="3" style="6" customWidth="1"/>
  </cols>
  <sheetData>
    <row r="1" spans="1:8" ht="30" customHeight="1" x14ac:dyDescent="0.3">
      <c r="A1" s="19" t="s">
        <v>20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21</v>
      </c>
      <c r="B4" s="1" t="s">
        <v>22</v>
      </c>
      <c r="C4" s="1"/>
      <c r="D4" s="1"/>
    </row>
    <row r="5" spans="1:8" ht="19.05" customHeight="1" x14ac:dyDescent="0.3">
      <c r="A5" s="2">
        <v>10</v>
      </c>
      <c r="B5" s="2">
        <v>8</v>
      </c>
    </row>
    <row r="6" spans="1:8" ht="19.05" customHeight="1" x14ac:dyDescent="0.3">
      <c r="A6" s="3">
        <v>5</v>
      </c>
      <c r="B6" s="3">
        <v>-2</v>
      </c>
    </row>
    <row r="7" spans="1:8" ht="19.05" customHeight="1" x14ac:dyDescent="0.3">
      <c r="A7" s="2">
        <v>0</v>
      </c>
    </row>
    <row r="8" spans="1:8" ht="19.05" customHeight="1" x14ac:dyDescent="0.3">
      <c r="A8" s="3">
        <v>-20</v>
      </c>
    </row>
    <row r="9" spans="1:8" ht="22.95" customHeight="1" x14ac:dyDescent="0.3">
      <c r="A9" s="18" t="s">
        <v>23</v>
      </c>
      <c r="B9" s="14"/>
      <c r="C9" s="14"/>
      <c r="D9" s="14"/>
      <c r="E9" s="14"/>
      <c r="F9" s="14"/>
      <c r="G9" s="14"/>
      <c r="H9" s="14"/>
    </row>
    <row r="11" spans="1:8" ht="30" customHeight="1" x14ac:dyDescent="0.3">
      <c r="A11" s="1" t="s">
        <v>24</v>
      </c>
      <c r="B11" s="1" t="s">
        <v>25</v>
      </c>
      <c r="C11" s="1" t="s">
        <v>26</v>
      </c>
      <c r="D11" s="1" t="s">
        <v>27</v>
      </c>
    </row>
    <row r="12" spans="1:8" ht="19.05" customHeight="1" x14ac:dyDescent="0.3">
      <c r="A12" s="4">
        <f>A5</f>
        <v>10</v>
      </c>
      <c r="B12" s="4">
        <f>B5</f>
        <v>8</v>
      </c>
      <c r="C12" s="4">
        <f t="shared" ref="C12:C19" si="0">A12+B12</f>
        <v>18</v>
      </c>
      <c r="D12" s="4">
        <f t="shared" ref="D12:D19" si="1">COUNTIF($C$12:$C$19,C12)</f>
        <v>1</v>
      </c>
    </row>
    <row r="13" spans="1:8" ht="19.05" customHeight="1" x14ac:dyDescent="0.3">
      <c r="A13" s="5">
        <f>A5</f>
        <v>10</v>
      </c>
      <c r="B13" s="5">
        <f>B6</f>
        <v>-2</v>
      </c>
      <c r="C13" s="5">
        <f t="shared" si="0"/>
        <v>8</v>
      </c>
      <c r="D13" s="5">
        <f t="shared" si="1"/>
        <v>2</v>
      </c>
    </row>
    <row r="14" spans="1:8" ht="19.05" customHeight="1" x14ac:dyDescent="0.3">
      <c r="A14" s="4">
        <f>A6</f>
        <v>5</v>
      </c>
      <c r="B14" s="4">
        <f>B5</f>
        <v>8</v>
      </c>
      <c r="C14" s="4">
        <f t="shared" si="0"/>
        <v>13</v>
      </c>
      <c r="D14" s="4">
        <f t="shared" si="1"/>
        <v>1</v>
      </c>
    </row>
    <row r="15" spans="1:8" ht="19.05" customHeight="1" x14ac:dyDescent="0.3">
      <c r="A15" s="5">
        <f>A6</f>
        <v>5</v>
      </c>
      <c r="B15" s="5">
        <f>B6</f>
        <v>-2</v>
      </c>
      <c r="C15" s="5">
        <f t="shared" si="0"/>
        <v>3</v>
      </c>
      <c r="D15" s="5">
        <f t="shared" si="1"/>
        <v>1</v>
      </c>
    </row>
    <row r="16" spans="1:8" ht="19.05" customHeight="1" x14ac:dyDescent="0.3">
      <c r="A16" s="4">
        <f>A7</f>
        <v>0</v>
      </c>
      <c r="B16" s="4">
        <f>B5</f>
        <v>8</v>
      </c>
      <c r="C16" s="4">
        <f t="shared" si="0"/>
        <v>8</v>
      </c>
      <c r="D16" s="4">
        <f t="shared" si="1"/>
        <v>2</v>
      </c>
    </row>
    <row r="17" spans="1:8" ht="19.05" customHeight="1" x14ac:dyDescent="0.3">
      <c r="A17" s="5">
        <f>A7</f>
        <v>0</v>
      </c>
      <c r="B17" s="5">
        <f>B6</f>
        <v>-2</v>
      </c>
      <c r="C17" s="5">
        <f t="shared" si="0"/>
        <v>-2</v>
      </c>
      <c r="D17" s="5">
        <f t="shared" si="1"/>
        <v>1</v>
      </c>
    </row>
    <row r="18" spans="1:8" ht="19.05" customHeight="1" x14ac:dyDescent="0.3">
      <c r="A18" s="4">
        <f>A8</f>
        <v>-20</v>
      </c>
      <c r="B18" s="4">
        <f>B5</f>
        <v>8</v>
      </c>
      <c r="C18" s="4">
        <f t="shared" si="0"/>
        <v>-12</v>
      </c>
      <c r="D18" s="4">
        <f t="shared" si="1"/>
        <v>1</v>
      </c>
    </row>
    <row r="19" spans="1:8" ht="19.05" customHeight="1" x14ac:dyDescent="0.3">
      <c r="A19" s="5">
        <f>A8</f>
        <v>-20</v>
      </c>
      <c r="B19" s="5">
        <f>B6</f>
        <v>-2</v>
      </c>
      <c r="C19" s="5">
        <f t="shared" si="0"/>
        <v>-22</v>
      </c>
      <c r="D19" s="5">
        <f t="shared" si="1"/>
        <v>1</v>
      </c>
    </row>
    <row r="21" spans="1:8" ht="19.05" customHeight="1" x14ac:dyDescent="0.3">
      <c r="A21" s="5" t="s">
        <v>9</v>
      </c>
      <c r="B21" s="5">
        <f>COUNT(C12:C19)</f>
        <v>8</v>
      </c>
    </row>
    <row r="22" spans="1:8" ht="19.05" customHeight="1" x14ac:dyDescent="0.3">
      <c r="A22" s="4" t="s">
        <v>28</v>
      </c>
      <c r="B22" s="4">
        <f>SUMPRODUCT(1/D12:D19)</f>
        <v>7</v>
      </c>
    </row>
    <row r="24" spans="1:8" ht="22.95" customHeight="1" x14ac:dyDescent="0.3">
      <c r="A24" s="18" t="s">
        <v>29</v>
      </c>
      <c r="B24" s="14"/>
      <c r="C24" s="14"/>
      <c r="D24" s="14"/>
      <c r="E24" s="14"/>
      <c r="F24" s="14"/>
      <c r="G24" s="14"/>
      <c r="H24" s="14"/>
    </row>
    <row r="26" spans="1:8" ht="22.05" customHeight="1" x14ac:dyDescent="0.3">
      <c r="A26" s="13" t="s">
        <v>13</v>
      </c>
      <c r="B26" s="14"/>
      <c r="C26" s="14"/>
      <c r="D26" s="14"/>
      <c r="E26" s="14"/>
      <c r="F26" s="14"/>
      <c r="G26" s="14"/>
      <c r="H26" s="14"/>
    </row>
    <row r="27" spans="1:8" ht="22.95" customHeight="1" x14ac:dyDescent="0.3">
      <c r="A27" s="17" t="s">
        <v>30</v>
      </c>
      <c r="B27" s="14"/>
      <c r="C27" s="14"/>
      <c r="D27" s="14"/>
      <c r="E27" s="14"/>
      <c r="F27" s="14"/>
      <c r="G27" s="14"/>
      <c r="H27" s="16"/>
    </row>
    <row r="28" spans="1:8" ht="22.95" customHeight="1" x14ac:dyDescent="0.3">
      <c r="A28" s="15" t="s">
        <v>31</v>
      </c>
      <c r="B28" s="14"/>
      <c r="C28" s="14"/>
      <c r="D28" s="14"/>
      <c r="E28" s="14"/>
      <c r="F28" s="14"/>
      <c r="G28" s="14"/>
      <c r="H28" s="16"/>
    </row>
    <row r="29" spans="1:8" ht="22.95" customHeight="1" x14ac:dyDescent="0.3">
      <c r="A29" s="17" t="s">
        <v>32</v>
      </c>
      <c r="B29" s="14"/>
      <c r="C29" s="14"/>
      <c r="D29" s="14"/>
      <c r="E29" s="14"/>
      <c r="F29" s="14"/>
      <c r="G29" s="14"/>
      <c r="H29" s="16"/>
    </row>
    <row r="30" spans="1:8" ht="22.95" customHeight="1" x14ac:dyDescent="0.3">
      <c r="A30" s="15" t="s">
        <v>33</v>
      </c>
      <c r="B30" s="14"/>
      <c r="C30" s="14"/>
      <c r="D30" s="14"/>
      <c r="E30" s="14"/>
      <c r="F30" s="14"/>
      <c r="G30" s="14"/>
      <c r="H30" s="16"/>
    </row>
    <row r="31" spans="1:8" ht="36" customHeight="1" x14ac:dyDescent="0.3">
      <c r="A31" s="17" t="s">
        <v>34</v>
      </c>
      <c r="B31" s="14"/>
      <c r="C31" s="14"/>
      <c r="D31" s="14"/>
      <c r="E31" s="14"/>
      <c r="F31" s="14"/>
      <c r="G31" s="14"/>
      <c r="H31" s="16"/>
    </row>
  </sheetData>
  <mergeCells count="10">
    <mergeCell ref="A2:H2"/>
    <mergeCell ref="A28:H28"/>
    <mergeCell ref="A1:H1"/>
    <mergeCell ref="A27:H27"/>
    <mergeCell ref="A31:H31"/>
    <mergeCell ref="A9:H9"/>
    <mergeCell ref="A26:H26"/>
    <mergeCell ref="A30:H30"/>
    <mergeCell ref="A29:H29"/>
    <mergeCell ref="A24:H24"/>
  </mergeCells>
  <pageMargins left="0.3" right="0.3" top="0.5" bottom="0.5" header="0.2" footer="0.2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6" style="6" customWidth="1"/>
    <col min="2" max="3" width="12" style="6" customWidth="1"/>
    <col min="4" max="4" width="25" style="6" customWidth="1"/>
    <col min="5" max="5" width="27" style="6" customWidth="1"/>
    <col min="6" max="8" width="3" style="6" customWidth="1"/>
  </cols>
  <sheetData>
    <row r="1" spans="1:8" ht="30" customHeight="1" x14ac:dyDescent="0.3">
      <c r="A1" s="19" t="s">
        <v>35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</row>
    <row r="5" spans="1:8" ht="19.05" customHeight="1" x14ac:dyDescent="0.3">
      <c r="A5" s="4" t="s">
        <v>41</v>
      </c>
      <c r="B5" s="2">
        <v>6</v>
      </c>
      <c r="C5" s="4">
        <v>2</v>
      </c>
      <c r="D5" s="7">
        <f>B5*(B5-1)</f>
        <v>30</v>
      </c>
      <c r="E5" s="7">
        <f>PERMUT(B5,C5)</f>
        <v>30</v>
      </c>
    </row>
    <row r="6" spans="1:8" ht="19.05" customHeight="1" x14ac:dyDescent="0.3">
      <c r="A6" s="5" t="s">
        <v>42</v>
      </c>
      <c r="B6" s="3">
        <v>6</v>
      </c>
      <c r="C6" s="5">
        <v>3</v>
      </c>
      <c r="D6" s="8">
        <f>B6*(B6-1)*(B6-2)/(3*2*1)</f>
        <v>20</v>
      </c>
      <c r="E6" s="8">
        <f>COMBIN(B6,C6)</f>
        <v>20</v>
      </c>
    </row>
    <row r="7" spans="1:8" ht="19.05" customHeight="1" x14ac:dyDescent="0.3">
      <c r="A7" s="4" t="s">
        <v>43</v>
      </c>
      <c r="B7" s="2">
        <v>3</v>
      </c>
      <c r="C7" s="4">
        <v>2</v>
      </c>
      <c r="D7" s="7">
        <f>B7*(B7-1)/(2*1)</f>
        <v>3</v>
      </c>
      <c r="E7" s="7">
        <f>COMBIN(B7,C7)</f>
        <v>3</v>
      </c>
    </row>
    <row r="8" spans="1:8" ht="19.05" customHeight="1" x14ac:dyDescent="0.3">
      <c r="A8" s="5" t="s">
        <v>44</v>
      </c>
      <c r="B8" s="3">
        <v>3</v>
      </c>
      <c r="C8" s="5">
        <v>2</v>
      </c>
      <c r="D8" s="8">
        <f>B8*(B8-1)</f>
        <v>6</v>
      </c>
      <c r="E8" s="8">
        <f>PERMUT(B8,C8)</f>
        <v>6</v>
      </c>
    </row>
    <row r="9" spans="1:8" ht="19.05" customHeight="1" x14ac:dyDescent="0.3">
      <c r="A9" s="4" t="s">
        <v>45</v>
      </c>
      <c r="B9" s="2">
        <v>5</v>
      </c>
      <c r="C9" s="4">
        <v>2</v>
      </c>
      <c r="D9" s="7">
        <f>B9*(B9-1)/(2*1)</f>
        <v>10</v>
      </c>
      <c r="E9" s="7">
        <f>COMBIN(B9,C9)</f>
        <v>10</v>
      </c>
    </row>
    <row r="10" spans="1:8" ht="19.05" customHeight="1" x14ac:dyDescent="0.3">
      <c r="A10" s="5" t="s">
        <v>46</v>
      </c>
      <c r="B10" s="3">
        <v>5</v>
      </c>
      <c r="C10" s="5">
        <v>2</v>
      </c>
      <c r="D10" s="8">
        <f>B10*(B10-1)</f>
        <v>20</v>
      </c>
      <c r="E10" s="8">
        <f>PERMUT(B10,C10)</f>
        <v>20</v>
      </c>
    </row>
    <row r="11" spans="1:8" ht="19.05" customHeight="1" x14ac:dyDescent="0.3">
      <c r="A11" s="4" t="s">
        <v>47</v>
      </c>
      <c r="B11" s="2">
        <v>6</v>
      </c>
      <c r="C11" s="4">
        <v>3</v>
      </c>
      <c r="D11" s="7">
        <f>B11*(B11-1)*(B11-2)</f>
        <v>120</v>
      </c>
      <c r="E11" s="7">
        <f>PERMUT(B11,C11)</f>
        <v>120</v>
      </c>
    </row>
    <row r="12" spans="1:8" ht="19.05" customHeight="1" x14ac:dyDescent="0.3">
      <c r="A12" s="5" t="s">
        <v>48</v>
      </c>
      <c r="B12" s="3">
        <v>8</v>
      </c>
      <c r="C12" s="5">
        <v>3</v>
      </c>
      <c r="D12" s="8">
        <f>B12*(B12-1)*(B12-2)</f>
        <v>336</v>
      </c>
      <c r="E12" s="8">
        <f>PERMUT(B12,C12)</f>
        <v>336</v>
      </c>
    </row>
    <row r="13" spans="1:8" ht="19.05" customHeight="1" x14ac:dyDescent="0.3">
      <c r="A13" s="4" t="s">
        <v>49</v>
      </c>
      <c r="B13" s="2">
        <v>7</v>
      </c>
      <c r="C13" s="4">
        <v>3</v>
      </c>
      <c r="D13" s="7">
        <f>B13*(B13-1)*(B13-2)</f>
        <v>210</v>
      </c>
      <c r="E13" s="7">
        <f>PERMUT(B13,C13)</f>
        <v>210</v>
      </c>
    </row>
    <row r="14" spans="1:8" ht="19.05" customHeight="1" x14ac:dyDescent="0.3">
      <c r="A14" s="5" t="s">
        <v>50</v>
      </c>
      <c r="B14" s="3">
        <v>4</v>
      </c>
      <c r="C14" s="5">
        <v>4</v>
      </c>
      <c r="D14" s="8">
        <f>B14*(B14-1)*(B14-2)*(B14-3)</f>
        <v>24</v>
      </c>
      <c r="E14" s="8">
        <f>PERMUT(B14,C14)</f>
        <v>24</v>
      </c>
    </row>
    <row r="15" spans="1:8" ht="19.05" customHeight="1" x14ac:dyDescent="0.3">
      <c r="A15" s="4" t="s">
        <v>51</v>
      </c>
      <c r="B15" s="2">
        <v>7</v>
      </c>
      <c r="C15" s="4">
        <v>3</v>
      </c>
      <c r="D15" s="7">
        <f>B15*(B15-1)*(B15-2)/(3*2*1)</f>
        <v>35</v>
      </c>
      <c r="E15" s="7">
        <f>COMBIN(B15,C15)</f>
        <v>35</v>
      </c>
    </row>
    <row r="16" spans="1:8" ht="19.05" customHeight="1" x14ac:dyDescent="0.3">
      <c r="A16" s="5" t="s">
        <v>52</v>
      </c>
      <c r="B16" s="3">
        <v>12</v>
      </c>
      <c r="C16" s="5">
        <v>4</v>
      </c>
      <c r="D16" s="8">
        <f>B16*(B16-1)*(B16-2)*(B16-3)/(4*3*2*1)</f>
        <v>495</v>
      </c>
      <c r="E16" s="8">
        <f>COMBIN(B16,C16)</f>
        <v>495</v>
      </c>
    </row>
    <row r="17" spans="1:8" ht="19.05" customHeight="1" x14ac:dyDescent="0.3">
      <c r="A17" s="4" t="s">
        <v>53</v>
      </c>
      <c r="B17" s="2">
        <v>40</v>
      </c>
      <c r="C17" s="4">
        <v>5</v>
      </c>
      <c r="D17" s="7">
        <f>B17*(B17-1)*(B17-2)*(B17-3)*(B17-4)/(5*4*3*2*1)</f>
        <v>658008</v>
      </c>
      <c r="E17" s="7">
        <f>COMBIN(B17,C17)</f>
        <v>658008</v>
      </c>
    </row>
    <row r="19" spans="1:8" ht="22.95" customHeight="1" x14ac:dyDescent="0.3">
      <c r="A19" s="18" t="s">
        <v>54</v>
      </c>
      <c r="B19" s="14"/>
      <c r="C19" s="14"/>
      <c r="D19" s="14"/>
      <c r="E19" s="14"/>
      <c r="F19" s="14"/>
      <c r="G19" s="14"/>
      <c r="H19" s="14"/>
    </row>
    <row r="21" spans="1:8" ht="30" customHeight="1" x14ac:dyDescent="0.3">
      <c r="A21" s="1" t="s">
        <v>55</v>
      </c>
      <c r="B21" s="1"/>
      <c r="C21" s="1"/>
      <c r="D21" s="1" t="s">
        <v>56</v>
      </c>
      <c r="E21" s="1"/>
    </row>
    <row r="22" spans="1:8" ht="22.95" customHeight="1" x14ac:dyDescent="0.3">
      <c r="A22" s="18" t="s">
        <v>57</v>
      </c>
      <c r="B22" s="14"/>
      <c r="C22" s="14"/>
      <c r="D22" s="14"/>
      <c r="E22" s="14"/>
      <c r="F22" s="14"/>
      <c r="G22" s="14"/>
      <c r="H22" s="14"/>
    </row>
    <row r="24" spans="1:8" ht="19.05" customHeight="1" x14ac:dyDescent="0.3">
      <c r="A24" s="4" t="s">
        <v>58</v>
      </c>
      <c r="D24" s="4">
        <f>FACT(C6)</f>
        <v>6</v>
      </c>
    </row>
    <row r="25" spans="1:8" ht="19.05" customHeight="1" x14ac:dyDescent="0.3">
      <c r="A25" s="5" t="s">
        <v>59</v>
      </c>
      <c r="D25" s="5">
        <f>E6*D24</f>
        <v>120</v>
      </c>
    </row>
    <row r="26" spans="1:8" ht="19.05" customHeight="1" x14ac:dyDescent="0.3">
      <c r="A26" s="4" t="s">
        <v>60</v>
      </c>
      <c r="D26" s="4">
        <f>PERMUT(B6,C6)</f>
        <v>120</v>
      </c>
    </row>
    <row r="28" spans="1:8" ht="22.05" customHeight="1" x14ac:dyDescent="0.3">
      <c r="A28" s="13" t="s">
        <v>13</v>
      </c>
      <c r="B28" s="14"/>
      <c r="C28" s="14"/>
      <c r="D28" s="14"/>
      <c r="E28" s="14"/>
      <c r="F28" s="14"/>
      <c r="G28" s="14"/>
      <c r="H28" s="14"/>
    </row>
    <row r="29" spans="1:8" ht="22.95" customHeight="1" x14ac:dyDescent="0.3">
      <c r="A29" s="17" t="s">
        <v>61</v>
      </c>
      <c r="B29" s="14"/>
      <c r="C29" s="14"/>
      <c r="D29" s="14"/>
      <c r="E29" s="14"/>
      <c r="F29" s="14"/>
      <c r="G29" s="14"/>
      <c r="H29" s="16"/>
    </row>
    <row r="30" spans="1:8" ht="22.95" customHeight="1" x14ac:dyDescent="0.3">
      <c r="A30" s="15" t="s">
        <v>62</v>
      </c>
      <c r="B30" s="14"/>
      <c r="C30" s="14"/>
      <c r="D30" s="14"/>
      <c r="E30" s="14"/>
      <c r="F30" s="14"/>
      <c r="G30" s="14"/>
      <c r="H30" s="16"/>
    </row>
    <row r="31" spans="1:8" ht="22.95" customHeight="1" x14ac:dyDescent="0.3">
      <c r="A31" s="17" t="s">
        <v>63</v>
      </c>
      <c r="B31" s="14"/>
      <c r="C31" s="14"/>
      <c r="D31" s="14"/>
      <c r="E31" s="14"/>
      <c r="F31" s="14"/>
      <c r="G31" s="14"/>
      <c r="H31" s="16"/>
    </row>
    <row r="32" spans="1:8" ht="36" customHeight="1" x14ac:dyDescent="0.3">
      <c r="A32" s="15" t="s">
        <v>64</v>
      </c>
      <c r="B32" s="14"/>
      <c r="C32" s="14"/>
      <c r="D32" s="14"/>
      <c r="E32" s="14"/>
      <c r="F32" s="14"/>
      <c r="G32" s="14"/>
      <c r="H32" s="16"/>
    </row>
    <row r="33" spans="1:8" ht="22.95" customHeight="1" x14ac:dyDescent="0.3">
      <c r="A33" s="17" t="s">
        <v>65</v>
      </c>
      <c r="B33" s="14"/>
      <c r="C33" s="14"/>
      <c r="D33" s="14"/>
      <c r="E33" s="14"/>
      <c r="F33" s="14"/>
      <c r="G33" s="14"/>
      <c r="H33" s="16"/>
    </row>
  </sheetData>
  <mergeCells count="10">
    <mergeCell ref="A1:H1"/>
    <mergeCell ref="A32:H32"/>
    <mergeCell ref="A31:H31"/>
    <mergeCell ref="A22:H22"/>
    <mergeCell ref="A30:H30"/>
    <mergeCell ref="A29:H29"/>
    <mergeCell ref="A2:H2"/>
    <mergeCell ref="A28:H28"/>
    <mergeCell ref="A33:H33"/>
    <mergeCell ref="A19:H19"/>
  </mergeCells>
  <dataValidations count="4">
    <dataValidation type="whole" showErrorMessage="1" errorTitle="Check the input" error="Enter a value between 2 and 1000000." sqref="B5 B7:B10" xr:uid="{00000000-0002-0000-0200-000000000000}">
      <formula1>2</formula1>
      <formula2>1000000</formula2>
    </dataValidation>
    <dataValidation type="whole" showErrorMessage="1" errorTitle="Check the input" error="Enter a value between 3 and 1000000." sqref="B6 B11:B13 B15" xr:uid="{00000000-0002-0000-0200-000001000000}">
      <formula1>3</formula1>
      <formula2>1000000</formula2>
    </dataValidation>
    <dataValidation type="whole" showErrorMessage="1" errorTitle="Check the input" error="Enter a value between 4 and 1000000." sqref="B14 B16" xr:uid="{00000000-0002-0000-0200-000002000000}">
      <formula1>4</formula1>
      <formula2>1000000</formula2>
    </dataValidation>
    <dataValidation type="whole" showErrorMessage="1" errorTitle="Check the input" error="Enter a value between 5 and 1000000." sqref="B17" xr:uid="{00000000-0002-0000-0200-000003000000}">
      <formula1>5</formula1>
      <formula2>1000000</formula2>
    </dataValidation>
  </dataValidations>
  <pageMargins left="0.3" right="0.3" top="0.5" bottom="0.5" header="0.2" footer="0.2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8" style="6" customWidth="1"/>
    <col min="2" max="3" width="24" style="6" customWidth="1"/>
    <col min="4" max="4" width="26" style="6" customWidth="1"/>
    <col min="5" max="8" width="3" style="6" customWidth="1"/>
  </cols>
  <sheetData>
    <row r="1" spans="1:8" ht="30" customHeight="1" x14ac:dyDescent="0.3">
      <c r="A1" s="19" t="s">
        <v>66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67</v>
      </c>
      <c r="B4" s="1" t="s">
        <v>68</v>
      </c>
      <c r="C4" s="1"/>
      <c r="D4" s="1"/>
    </row>
    <row r="5" spans="1:8" ht="19.05" customHeight="1" x14ac:dyDescent="0.3">
      <c r="A5" s="4" t="s">
        <v>69</v>
      </c>
      <c r="B5" s="2">
        <v>8</v>
      </c>
    </row>
    <row r="6" spans="1:8" ht="19.05" customHeight="1" x14ac:dyDescent="0.3">
      <c r="A6" s="5" t="s">
        <v>70</v>
      </c>
      <c r="B6" s="3">
        <v>6</v>
      </c>
    </row>
    <row r="7" spans="1:8" ht="19.05" customHeight="1" x14ac:dyDescent="0.3">
      <c r="A7" s="4" t="s">
        <v>71</v>
      </c>
      <c r="B7" s="2">
        <v>4</v>
      </c>
    </row>
    <row r="8" spans="1:8" ht="19.05" customHeight="1" x14ac:dyDescent="0.3">
      <c r="A8" s="5" t="s">
        <v>72</v>
      </c>
      <c r="B8" s="5">
        <f>SUM(B5:B7)</f>
        <v>18</v>
      </c>
    </row>
    <row r="10" spans="1:8" ht="19.05" customHeight="1" x14ac:dyDescent="0.3">
      <c r="A10" s="5" t="s">
        <v>73</v>
      </c>
      <c r="B10" s="5">
        <f>COMBIN(B8,3)</f>
        <v>816</v>
      </c>
    </row>
    <row r="12" spans="1:8" ht="30" customHeight="1" x14ac:dyDescent="0.3">
      <c r="A12" s="1" t="s">
        <v>74</v>
      </c>
      <c r="B12" s="1" t="s">
        <v>75</v>
      </c>
      <c r="C12" s="1"/>
      <c r="D12" s="1"/>
    </row>
    <row r="13" spans="1:8" ht="19.05" customHeight="1" x14ac:dyDescent="0.3">
      <c r="A13" s="4" t="s">
        <v>76</v>
      </c>
      <c r="B13" s="4">
        <f>COMBIN(B5,2)</f>
        <v>28</v>
      </c>
    </row>
    <row r="14" spans="1:8" ht="19.05" customHeight="1" x14ac:dyDescent="0.3">
      <c r="A14" s="5" t="s">
        <v>77</v>
      </c>
      <c r="B14" s="5">
        <f>COMBIN(B6,1)</f>
        <v>6</v>
      </c>
    </row>
    <row r="15" spans="1:8" ht="19.05" customHeight="1" x14ac:dyDescent="0.3">
      <c r="A15" s="4" t="s">
        <v>78</v>
      </c>
      <c r="B15" s="4">
        <f>B13*B14</f>
        <v>168</v>
      </c>
    </row>
    <row r="17" spans="1:8" ht="30" customHeight="1" x14ac:dyDescent="0.3">
      <c r="A17" s="1" t="s">
        <v>79</v>
      </c>
      <c r="B17" s="1" t="s">
        <v>80</v>
      </c>
      <c r="C17" s="1" t="s">
        <v>81</v>
      </c>
      <c r="D17" s="1" t="s">
        <v>72</v>
      </c>
    </row>
    <row r="18" spans="1:8" ht="19.05" customHeight="1" x14ac:dyDescent="0.3">
      <c r="A18" s="4" t="s">
        <v>82</v>
      </c>
      <c r="B18" s="4">
        <f>COMBIN(B5,2)*COMBIN(B6,1)</f>
        <v>168</v>
      </c>
      <c r="C18" s="4">
        <f>COMBIN(B5,1)*COMBIN(B6,2)</f>
        <v>120</v>
      </c>
      <c r="D18" s="4">
        <f>SUM(B18:C18)</f>
        <v>288</v>
      </c>
    </row>
    <row r="19" spans="1:8" ht="19.05" customHeight="1" x14ac:dyDescent="0.3">
      <c r="A19" s="5" t="s">
        <v>83</v>
      </c>
      <c r="B19" s="5">
        <f>COMBIN(B5,2)*COMBIN(B7,1)</f>
        <v>112</v>
      </c>
      <c r="C19" s="5">
        <f>COMBIN(B5,1)*COMBIN(B7,2)</f>
        <v>48</v>
      </c>
      <c r="D19" s="5">
        <f>SUM(B19:C19)</f>
        <v>160</v>
      </c>
    </row>
    <row r="20" spans="1:8" ht="19.05" customHeight="1" x14ac:dyDescent="0.3">
      <c r="A20" s="4" t="s">
        <v>84</v>
      </c>
      <c r="B20" s="4">
        <f>COMBIN(B6,2)*COMBIN(B7,1)</f>
        <v>60</v>
      </c>
      <c r="C20" s="4">
        <f>COMBIN(B6,1)*COMBIN(B7,2)</f>
        <v>36</v>
      </c>
      <c r="D20" s="4">
        <f>SUM(B20:C20)</f>
        <v>96</v>
      </c>
    </row>
    <row r="21" spans="1:8" ht="19.05" customHeight="1" x14ac:dyDescent="0.3">
      <c r="A21" s="5" t="s">
        <v>85</v>
      </c>
      <c r="D21" s="5">
        <f>SUM(D18:D20)</f>
        <v>544</v>
      </c>
    </row>
    <row r="23" spans="1:8" ht="22.95" customHeight="1" x14ac:dyDescent="0.3">
      <c r="A23" s="18" t="s">
        <v>86</v>
      </c>
      <c r="B23" s="14"/>
      <c r="C23" s="14"/>
      <c r="D23" s="14"/>
      <c r="E23" s="14"/>
      <c r="F23" s="14"/>
      <c r="G23" s="14"/>
      <c r="H23" s="14"/>
    </row>
    <row r="25" spans="1:8" ht="22.05" customHeight="1" x14ac:dyDescent="0.3">
      <c r="A25" s="13" t="s">
        <v>13</v>
      </c>
      <c r="B25" s="14"/>
      <c r="C25" s="14"/>
      <c r="D25" s="14"/>
      <c r="E25" s="14"/>
      <c r="F25" s="14"/>
      <c r="G25" s="14"/>
      <c r="H25" s="14"/>
    </row>
    <row r="26" spans="1:8" ht="22.95" customHeight="1" x14ac:dyDescent="0.3">
      <c r="A26" s="17" t="s">
        <v>87</v>
      </c>
      <c r="B26" s="14"/>
      <c r="C26" s="14"/>
      <c r="D26" s="14"/>
      <c r="E26" s="14"/>
      <c r="F26" s="14"/>
      <c r="G26" s="14"/>
      <c r="H26" s="16"/>
    </row>
    <row r="27" spans="1:8" ht="22.95" customHeight="1" x14ac:dyDescent="0.3">
      <c r="A27" s="15" t="s">
        <v>88</v>
      </c>
      <c r="B27" s="14"/>
      <c r="C27" s="14"/>
      <c r="D27" s="14"/>
      <c r="E27" s="14"/>
      <c r="F27" s="14"/>
      <c r="G27" s="14"/>
      <c r="H27" s="16"/>
    </row>
    <row r="28" spans="1:8" ht="22.95" customHeight="1" x14ac:dyDescent="0.3">
      <c r="A28" s="17" t="s">
        <v>89</v>
      </c>
      <c r="B28" s="14"/>
      <c r="C28" s="14"/>
      <c r="D28" s="14"/>
      <c r="E28" s="14"/>
      <c r="F28" s="14"/>
      <c r="G28" s="14"/>
      <c r="H28" s="16"/>
    </row>
    <row r="29" spans="1:8" ht="22.95" customHeight="1" x14ac:dyDescent="0.3">
      <c r="A29" s="15" t="s">
        <v>90</v>
      </c>
      <c r="B29" s="14"/>
      <c r="C29" s="14"/>
      <c r="D29" s="14"/>
      <c r="E29" s="14"/>
      <c r="F29" s="14"/>
      <c r="G29" s="14"/>
      <c r="H29" s="16"/>
    </row>
    <row r="30" spans="1:8" ht="22.95" customHeight="1" x14ac:dyDescent="0.3">
      <c r="A30" s="17" t="s">
        <v>91</v>
      </c>
      <c r="B30" s="14"/>
      <c r="C30" s="14"/>
      <c r="D30" s="14"/>
      <c r="E30" s="14"/>
      <c r="F30" s="14"/>
      <c r="G30" s="14"/>
      <c r="H30" s="16"/>
    </row>
  </sheetData>
  <mergeCells count="9">
    <mergeCell ref="A1:H1"/>
    <mergeCell ref="A23:H23"/>
    <mergeCell ref="A27:H27"/>
    <mergeCell ref="A26:H26"/>
    <mergeCell ref="A30:H30"/>
    <mergeCell ref="A29:H29"/>
    <mergeCell ref="A25:H25"/>
    <mergeCell ref="A2:H2"/>
    <mergeCell ref="A28:H28"/>
  </mergeCells>
  <dataValidations count="1">
    <dataValidation type="whole" showErrorMessage="1" errorTitle="Check the input" error="Enter a value between 2 and 1000000." sqref="B5:B7" xr:uid="{00000000-0002-0000-0300-000000000000}">
      <formula1>2</formula1>
      <formula2>1000000</formula2>
    </dataValidation>
  </dataValidations>
  <pageMargins left="0.3" right="0.3" top="0.5" bottom="0.5" header="0.2" footer="0.2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3" style="6" customWidth="1"/>
    <col min="2" max="4" width="26" style="6" customWidth="1"/>
    <col min="5" max="8" width="3" style="6" customWidth="1"/>
  </cols>
  <sheetData>
    <row r="1" spans="1:8" ht="30" customHeight="1" x14ac:dyDescent="0.3">
      <c r="A1" s="19" t="s">
        <v>92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93</v>
      </c>
      <c r="B4" s="1" t="s">
        <v>94</v>
      </c>
      <c r="C4" s="1" t="s">
        <v>95</v>
      </c>
      <c r="D4" s="1" t="s">
        <v>72</v>
      </c>
    </row>
    <row r="5" spans="1:8" ht="19.05" customHeight="1" x14ac:dyDescent="0.3">
      <c r="A5" s="4" t="s">
        <v>96</v>
      </c>
      <c r="B5" s="2">
        <v>30</v>
      </c>
      <c r="C5" s="2">
        <v>20</v>
      </c>
      <c r="D5" s="4">
        <f>SUM(B5:C5)</f>
        <v>50</v>
      </c>
    </row>
    <row r="6" spans="1:8" ht="19.05" customHeight="1" x14ac:dyDescent="0.3">
      <c r="A6" s="5" t="s">
        <v>97</v>
      </c>
      <c r="B6" s="3">
        <v>15</v>
      </c>
      <c r="C6" s="3">
        <v>135</v>
      </c>
      <c r="D6" s="5">
        <f>SUM(B6:C6)</f>
        <v>150</v>
      </c>
    </row>
    <row r="7" spans="1:8" ht="19.05" customHeight="1" x14ac:dyDescent="0.3">
      <c r="A7" s="4" t="s">
        <v>72</v>
      </c>
      <c r="B7" s="4">
        <f>SUM(B5:B6)</f>
        <v>45</v>
      </c>
      <c r="C7" s="4">
        <f>SUM(C5:C6)</f>
        <v>155</v>
      </c>
      <c r="D7" s="4">
        <f>SUM(D5:D6)</f>
        <v>200</v>
      </c>
    </row>
    <row r="9" spans="1:8" ht="30" customHeight="1" x14ac:dyDescent="0.3">
      <c r="A9" s="1" t="s">
        <v>98</v>
      </c>
      <c r="B9" s="1" t="s">
        <v>94</v>
      </c>
      <c r="C9" s="1" t="s">
        <v>95</v>
      </c>
      <c r="D9" s="1" t="s">
        <v>72</v>
      </c>
    </row>
    <row r="10" spans="1:8" ht="19.05" customHeight="1" x14ac:dyDescent="0.3">
      <c r="A10" s="4" t="s">
        <v>96</v>
      </c>
      <c r="B10" s="9">
        <f t="shared" ref="B10:D12" si="0">B5/$D$7</f>
        <v>0.15</v>
      </c>
      <c r="C10" s="9">
        <f t="shared" si="0"/>
        <v>0.1</v>
      </c>
      <c r="D10" s="9">
        <f t="shared" si="0"/>
        <v>0.25</v>
      </c>
    </row>
    <row r="11" spans="1:8" ht="19.05" customHeight="1" x14ac:dyDescent="0.3">
      <c r="A11" s="5" t="s">
        <v>97</v>
      </c>
      <c r="B11" s="10">
        <f t="shared" si="0"/>
        <v>7.4999999999999997E-2</v>
      </c>
      <c r="C11" s="10">
        <f t="shared" si="0"/>
        <v>0.67500000000000004</v>
      </c>
      <c r="D11" s="10">
        <f t="shared" si="0"/>
        <v>0.75</v>
      </c>
    </row>
    <row r="12" spans="1:8" ht="19.05" customHeight="1" x14ac:dyDescent="0.3">
      <c r="A12" s="4" t="s">
        <v>72</v>
      </c>
      <c r="B12" s="9">
        <f t="shared" si="0"/>
        <v>0.22500000000000001</v>
      </c>
      <c r="C12" s="9">
        <f t="shared" si="0"/>
        <v>0.77500000000000002</v>
      </c>
      <c r="D12" s="9">
        <f t="shared" si="0"/>
        <v>1</v>
      </c>
    </row>
    <row r="14" spans="1:8" ht="30" customHeight="1" x14ac:dyDescent="0.3">
      <c r="A14" s="1" t="s">
        <v>99</v>
      </c>
      <c r="B14" s="1" t="s">
        <v>100</v>
      </c>
      <c r="C14" s="1" t="s">
        <v>101</v>
      </c>
      <c r="D14" s="1"/>
    </row>
    <row r="15" spans="1:8" ht="19.05" customHeight="1" x14ac:dyDescent="0.3">
      <c r="A15" s="4" t="s">
        <v>102</v>
      </c>
      <c r="B15" s="11">
        <f>D5/$D$7</f>
        <v>0.25</v>
      </c>
      <c r="C15" s="21" t="s">
        <v>103</v>
      </c>
      <c r="D15" s="16"/>
    </row>
    <row r="16" spans="1:8" ht="19.05" customHeight="1" x14ac:dyDescent="0.3">
      <c r="A16" s="5" t="s">
        <v>104</v>
      </c>
      <c r="B16" s="12">
        <f>B7/$D$7</f>
        <v>0.22500000000000001</v>
      </c>
      <c r="C16" s="20" t="s">
        <v>105</v>
      </c>
      <c r="D16" s="16"/>
    </row>
    <row r="17" spans="1:8" ht="19.05" customHeight="1" x14ac:dyDescent="0.3">
      <c r="A17" s="4" t="s">
        <v>106</v>
      </c>
      <c r="B17" s="11">
        <f>B5/$D$7</f>
        <v>0.15</v>
      </c>
      <c r="C17" s="21" t="s">
        <v>107</v>
      </c>
      <c r="D17" s="16"/>
    </row>
    <row r="18" spans="1:8" ht="19.05" customHeight="1" x14ac:dyDescent="0.3">
      <c r="A18" s="5" t="s">
        <v>108</v>
      </c>
      <c r="B18" s="12">
        <f>B15+B16-B17</f>
        <v>0.32499999999999996</v>
      </c>
      <c r="C18" s="20" t="s">
        <v>109</v>
      </c>
      <c r="D18" s="16"/>
    </row>
    <row r="19" spans="1:8" ht="19.05" customHeight="1" x14ac:dyDescent="0.3">
      <c r="A19" s="4" t="s">
        <v>110</v>
      </c>
      <c r="B19" s="11">
        <f>1-B15</f>
        <v>0.75</v>
      </c>
      <c r="C19" s="21" t="s">
        <v>111</v>
      </c>
      <c r="D19" s="16"/>
    </row>
    <row r="20" spans="1:8" ht="19.05" customHeight="1" x14ac:dyDescent="0.3">
      <c r="A20" s="5" t="s">
        <v>95</v>
      </c>
      <c r="B20" s="12">
        <f>1-B16</f>
        <v>0.77500000000000002</v>
      </c>
      <c r="C20" s="20" t="s">
        <v>112</v>
      </c>
      <c r="D20" s="16"/>
    </row>
    <row r="21" spans="1:8" ht="19.05" customHeight="1" x14ac:dyDescent="0.3">
      <c r="A21" s="4" t="s">
        <v>113</v>
      </c>
      <c r="B21" s="11">
        <f>B5/D5</f>
        <v>0.6</v>
      </c>
      <c r="C21" s="21" t="s">
        <v>114</v>
      </c>
      <c r="D21" s="16"/>
    </row>
    <row r="22" spans="1:8" ht="19.05" customHeight="1" x14ac:dyDescent="0.3">
      <c r="A22" s="5" t="s">
        <v>115</v>
      </c>
      <c r="B22" s="12">
        <f>B5/B7</f>
        <v>0.66666666666666663</v>
      </c>
      <c r="C22" s="20" t="s">
        <v>116</v>
      </c>
      <c r="D22" s="16"/>
    </row>
    <row r="23" spans="1:8" ht="19.05" customHeight="1" x14ac:dyDescent="0.3">
      <c r="A23" s="4" t="s">
        <v>117</v>
      </c>
      <c r="B23" s="11">
        <f>B6/D6</f>
        <v>0.1</v>
      </c>
      <c r="C23" s="21" t="s">
        <v>118</v>
      </c>
      <c r="D23" s="16"/>
    </row>
    <row r="24" spans="1:8" ht="19.05" customHeight="1" x14ac:dyDescent="0.3">
      <c r="A24" s="5" t="s">
        <v>119</v>
      </c>
      <c r="B24" s="12">
        <f>B15*B21</f>
        <v>0.15</v>
      </c>
      <c r="C24" s="20" t="s">
        <v>120</v>
      </c>
      <c r="D24" s="16"/>
    </row>
    <row r="25" spans="1:8" ht="19.05" customHeight="1" x14ac:dyDescent="0.3">
      <c r="A25" s="4" t="s">
        <v>121</v>
      </c>
      <c r="B25" s="11">
        <f>B15*B21+B19*B23</f>
        <v>0.22500000000000001</v>
      </c>
      <c r="C25" s="21" t="s">
        <v>122</v>
      </c>
      <c r="D25" s="16"/>
    </row>
    <row r="26" spans="1:8" ht="19.05" customHeight="1" x14ac:dyDescent="0.3">
      <c r="A26" s="5" t="s">
        <v>123</v>
      </c>
      <c r="B26" s="12">
        <f>B24/B25</f>
        <v>0.66666666666666663</v>
      </c>
      <c r="C26" s="20" t="s">
        <v>124</v>
      </c>
      <c r="D26" s="16"/>
    </row>
    <row r="27" spans="1:8" ht="19.05" customHeight="1" x14ac:dyDescent="0.3">
      <c r="A27" s="4" t="s">
        <v>125</v>
      </c>
      <c r="B27" s="11">
        <f>B15*B16</f>
        <v>5.6250000000000001E-2</v>
      </c>
      <c r="C27" s="21" t="s">
        <v>126</v>
      </c>
      <c r="D27" s="16"/>
    </row>
    <row r="29" spans="1:8" ht="22.95" customHeight="1" x14ac:dyDescent="0.3">
      <c r="A29" s="18" t="s">
        <v>127</v>
      </c>
      <c r="B29" s="14"/>
      <c r="C29" s="14"/>
      <c r="D29" s="14"/>
      <c r="E29" s="14"/>
      <c r="F29" s="14"/>
      <c r="G29" s="14"/>
      <c r="H29" s="14"/>
    </row>
    <row r="30" spans="1:8" ht="36" customHeight="1" x14ac:dyDescent="0.3">
      <c r="A30" s="18" t="s">
        <v>128</v>
      </c>
      <c r="B30" s="14"/>
      <c r="C30" s="14"/>
      <c r="D30" s="14"/>
      <c r="E30" s="14"/>
      <c r="F30" s="14"/>
      <c r="G30" s="14"/>
      <c r="H30" s="14"/>
    </row>
    <row r="32" spans="1:8" ht="22.05" customHeight="1" x14ac:dyDescent="0.3">
      <c r="A32" s="13" t="s">
        <v>13</v>
      </c>
      <c r="B32" s="14"/>
      <c r="C32" s="14"/>
      <c r="D32" s="14"/>
      <c r="E32" s="14"/>
      <c r="F32" s="14"/>
      <c r="G32" s="14"/>
      <c r="H32" s="14"/>
    </row>
    <row r="33" spans="1:8" ht="22.95" customHeight="1" x14ac:dyDescent="0.3">
      <c r="A33" s="17" t="s">
        <v>129</v>
      </c>
      <c r="B33" s="14"/>
      <c r="C33" s="14"/>
      <c r="D33" s="14"/>
      <c r="E33" s="14"/>
      <c r="F33" s="14"/>
      <c r="G33" s="14"/>
      <c r="H33" s="16"/>
    </row>
    <row r="34" spans="1:8" ht="22.95" customHeight="1" x14ac:dyDescent="0.3">
      <c r="A34" s="15" t="s">
        <v>130</v>
      </c>
      <c r="B34" s="14"/>
      <c r="C34" s="14"/>
      <c r="D34" s="14"/>
      <c r="E34" s="14"/>
      <c r="F34" s="14"/>
      <c r="G34" s="14"/>
      <c r="H34" s="16"/>
    </row>
    <row r="35" spans="1:8" ht="22.95" customHeight="1" x14ac:dyDescent="0.3">
      <c r="A35" s="17" t="s">
        <v>131</v>
      </c>
      <c r="B35" s="14"/>
      <c r="C35" s="14"/>
      <c r="D35" s="14"/>
      <c r="E35" s="14"/>
      <c r="F35" s="14"/>
      <c r="G35" s="14"/>
      <c r="H35" s="16"/>
    </row>
    <row r="36" spans="1:8" ht="22.95" customHeight="1" x14ac:dyDescent="0.3">
      <c r="A36" s="15" t="s">
        <v>132</v>
      </c>
      <c r="B36" s="14"/>
      <c r="C36" s="14"/>
      <c r="D36" s="14"/>
      <c r="E36" s="14"/>
      <c r="F36" s="14"/>
      <c r="G36" s="14"/>
      <c r="H36" s="16"/>
    </row>
    <row r="37" spans="1:8" ht="22.95" customHeight="1" x14ac:dyDescent="0.3">
      <c r="A37" s="17" t="s">
        <v>133</v>
      </c>
      <c r="B37" s="14"/>
      <c r="C37" s="14"/>
      <c r="D37" s="14"/>
      <c r="E37" s="14"/>
      <c r="F37" s="14"/>
      <c r="G37" s="14"/>
      <c r="H37" s="16"/>
    </row>
    <row r="38" spans="1:8" ht="22.95" customHeight="1" x14ac:dyDescent="0.3">
      <c r="A38" s="15" t="s">
        <v>134</v>
      </c>
      <c r="B38" s="14"/>
      <c r="C38" s="14"/>
      <c r="D38" s="14"/>
      <c r="E38" s="14"/>
      <c r="F38" s="14"/>
      <c r="G38" s="14"/>
      <c r="H38" s="16"/>
    </row>
  </sheetData>
  <mergeCells count="24">
    <mergeCell ref="A38:H38"/>
    <mergeCell ref="C19:D19"/>
    <mergeCell ref="C18:D18"/>
    <mergeCell ref="A34:H34"/>
    <mergeCell ref="A37:H37"/>
    <mergeCell ref="C21:D21"/>
    <mergeCell ref="A2:H2"/>
    <mergeCell ref="C27:D27"/>
    <mergeCell ref="A33:H33"/>
    <mergeCell ref="A32:H32"/>
    <mergeCell ref="C17:D17"/>
    <mergeCell ref="C23:D23"/>
    <mergeCell ref="A35:H35"/>
    <mergeCell ref="A29:H29"/>
    <mergeCell ref="A30:H30"/>
    <mergeCell ref="C24:D24"/>
    <mergeCell ref="C15:D15"/>
    <mergeCell ref="A36:H36"/>
    <mergeCell ref="A1:H1"/>
    <mergeCell ref="C26:D26"/>
    <mergeCell ref="C20:D20"/>
    <mergeCell ref="C16:D16"/>
    <mergeCell ref="C25:D25"/>
    <mergeCell ref="C22:D22"/>
  </mergeCells>
  <dataValidations count="1">
    <dataValidation type="whole" showErrorMessage="1" errorTitle="Check the input" error="Enter a value between 0 and 1000000." sqref="B5:C6" xr:uid="{00000000-0002-0000-0400-000000000000}">
      <formula1>0</formula1>
      <formula2>1000000</formula2>
    </dataValidation>
  </dataValidations>
  <pageMargins left="0.3" right="0.3" top="0.5" bottom="0.5" header="0.2" footer="0.2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3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3" style="6" customWidth="1"/>
    <col min="2" max="2" width="22" style="6" customWidth="1"/>
    <col min="3" max="3" width="27" style="6" customWidth="1"/>
    <col min="4" max="4" width="25" style="6" customWidth="1"/>
    <col min="5" max="8" width="3" style="6" customWidth="1"/>
  </cols>
  <sheetData>
    <row r="1" spans="1:8" ht="30" customHeight="1" x14ac:dyDescent="0.3">
      <c r="A1" s="19" t="s">
        <v>135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136</v>
      </c>
      <c r="B4" s="1" t="s">
        <v>137</v>
      </c>
      <c r="C4" s="1"/>
      <c r="D4" s="1"/>
    </row>
    <row r="5" spans="1:8" ht="19.05" customHeight="1" x14ac:dyDescent="0.3">
      <c r="A5" s="4" t="s">
        <v>138</v>
      </c>
      <c r="B5" s="2">
        <v>3</v>
      </c>
    </row>
    <row r="6" spans="1:8" ht="19.05" customHeight="1" x14ac:dyDescent="0.3">
      <c r="A6" s="5" t="s">
        <v>139</v>
      </c>
      <c r="B6" s="3">
        <v>7</v>
      </c>
    </row>
    <row r="7" spans="1:8" ht="19.05" customHeight="1" x14ac:dyDescent="0.3">
      <c r="A7" s="4" t="s">
        <v>72</v>
      </c>
      <c r="B7" s="4">
        <f>SUM(B5:B6)</f>
        <v>10</v>
      </c>
    </row>
    <row r="9" spans="1:8" ht="30" customHeight="1" x14ac:dyDescent="0.3">
      <c r="A9" s="1" t="s">
        <v>140</v>
      </c>
      <c r="B9" s="1" t="s">
        <v>141</v>
      </c>
      <c r="C9" s="1" t="s">
        <v>142</v>
      </c>
      <c r="D9" s="1" t="s">
        <v>100</v>
      </c>
    </row>
    <row r="10" spans="1:8" ht="19.05" customHeight="1" x14ac:dyDescent="0.3">
      <c r="A10" s="4" t="s">
        <v>143</v>
      </c>
      <c r="B10" s="4">
        <f>B5</f>
        <v>3</v>
      </c>
      <c r="C10" s="4">
        <f>B7</f>
        <v>10</v>
      </c>
      <c r="D10" s="11">
        <f>B10/C10</f>
        <v>0.3</v>
      </c>
    </row>
    <row r="11" spans="1:8" ht="19.05" customHeight="1" x14ac:dyDescent="0.3">
      <c r="A11" s="5" t="s">
        <v>144</v>
      </c>
      <c r="B11" s="5">
        <f>B5-1</f>
        <v>2</v>
      </c>
      <c r="C11" s="5">
        <f>B7-1</f>
        <v>9</v>
      </c>
      <c r="D11" s="12">
        <f>B11/C11</f>
        <v>0.22222222222222221</v>
      </c>
    </row>
    <row r="13" spans="1:8" ht="19.05" customHeight="1" x14ac:dyDescent="0.3">
      <c r="A13" s="5" t="s">
        <v>145</v>
      </c>
      <c r="D13" s="12">
        <f>D10*D11</f>
        <v>6.6666666666666666E-2</v>
      </c>
    </row>
    <row r="15" spans="1:8" ht="30" customHeight="1" x14ac:dyDescent="0.3">
      <c r="A15" s="1" t="s">
        <v>146</v>
      </c>
      <c r="B15" s="1" t="s">
        <v>137</v>
      </c>
      <c r="C15" s="1"/>
      <c r="D15" s="1"/>
    </row>
    <row r="16" spans="1:8" ht="19.05" customHeight="1" x14ac:dyDescent="0.3">
      <c r="A16" s="4" t="s">
        <v>147</v>
      </c>
      <c r="B16" s="4">
        <f>B7*(B7-1)</f>
        <v>90</v>
      </c>
    </row>
    <row r="17" spans="1:8" ht="19.05" customHeight="1" x14ac:dyDescent="0.3">
      <c r="A17" s="5" t="s">
        <v>148</v>
      </c>
      <c r="B17" s="5">
        <f>B5*(B5-1)</f>
        <v>6</v>
      </c>
    </row>
    <row r="18" spans="1:8" ht="19.05" customHeight="1" x14ac:dyDescent="0.3">
      <c r="A18" s="4" t="s">
        <v>149</v>
      </c>
      <c r="B18" s="11">
        <f>B17/B16</f>
        <v>6.6666666666666666E-2</v>
      </c>
    </row>
    <row r="20" spans="1:8" ht="19.05" customHeight="1" x14ac:dyDescent="0.3">
      <c r="A20" s="4" t="s">
        <v>150</v>
      </c>
      <c r="B20" s="4">
        <f>COMBIN(B7,2)</f>
        <v>45</v>
      </c>
    </row>
    <row r="21" spans="1:8" ht="19.05" customHeight="1" x14ac:dyDescent="0.3">
      <c r="A21" s="5" t="s">
        <v>151</v>
      </c>
      <c r="B21" s="5">
        <f>COMBIN(B5,2)</f>
        <v>3</v>
      </c>
    </row>
    <row r="22" spans="1:8" ht="19.05" customHeight="1" x14ac:dyDescent="0.3">
      <c r="A22" s="4" t="s">
        <v>152</v>
      </c>
      <c r="B22" s="11">
        <f>B21/B20</f>
        <v>6.6666666666666666E-2</v>
      </c>
    </row>
    <row r="24" spans="1:8" ht="22.95" customHeight="1" x14ac:dyDescent="0.3">
      <c r="A24" s="18" t="s">
        <v>153</v>
      </c>
      <c r="B24" s="14"/>
      <c r="C24" s="14"/>
      <c r="D24" s="14"/>
      <c r="E24" s="14"/>
      <c r="F24" s="14"/>
      <c r="G24" s="14"/>
      <c r="H24" s="14"/>
    </row>
    <row r="26" spans="1:8" ht="22.05" customHeight="1" x14ac:dyDescent="0.3">
      <c r="A26" s="13" t="s">
        <v>13</v>
      </c>
      <c r="B26" s="14"/>
      <c r="C26" s="14"/>
      <c r="D26" s="14"/>
      <c r="E26" s="14"/>
      <c r="F26" s="14"/>
      <c r="G26" s="14"/>
      <c r="H26" s="14"/>
    </row>
    <row r="27" spans="1:8" ht="22.95" customHeight="1" x14ac:dyDescent="0.3">
      <c r="A27" s="17" t="s">
        <v>154</v>
      </c>
      <c r="B27" s="14"/>
      <c r="C27" s="14"/>
      <c r="D27" s="14"/>
      <c r="E27" s="14"/>
      <c r="F27" s="14"/>
      <c r="G27" s="14"/>
      <c r="H27" s="16"/>
    </row>
    <row r="28" spans="1:8" ht="22.95" customHeight="1" x14ac:dyDescent="0.3">
      <c r="A28" s="15" t="s">
        <v>155</v>
      </c>
      <c r="B28" s="14"/>
      <c r="C28" s="14"/>
      <c r="D28" s="14"/>
      <c r="E28" s="14"/>
      <c r="F28" s="14"/>
      <c r="G28" s="14"/>
      <c r="H28" s="16"/>
    </row>
    <row r="29" spans="1:8" ht="22.95" customHeight="1" x14ac:dyDescent="0.3">
      <c r="A29" s="17" t="s">
        <v>156</v>
      </c>
      <c r="B29" s="14"/>
      <c r="C29" s="14"/>
      <c r="D29" s="14"/>
      <c r="E29" s="14"/>
      <c r="F29" s="14"/>
      <c r="G29" s="14"/>
      <c r="H29" s="16"/>
    </row>
    <row r="30" spans="1:8" ht="22.95" customHeight="1" x14ac:dyDescent="0.3">
      <c r="A30" s="15" t="s">
        <v>157</v>
      </c>
      <c r="B30" s="14"/>
      <c r="C30" s="14"/>
      <c r="D30" s="14"/>
      <c r="E30" s="14"/>
      <c r="F30" s="14"/>
      <c r="G30" s="14"/>
      <c r="H30" s="16"/>
    </row>
    <row r="31" spans="1:8" ht="22.95" customHeight="1" x14ac:dyDescent="0.3">
      <c r="A31" s="17" t="s">
        <v>158</v>
      </c>
      <c r="B31" s="14"/>
      <c r="C31" s="14"/>
      <c r="D31" s="14"/>
      <c r="E31" s="14"/>
      <c r="F31" s="14"/>
      <c r="G31" s="14"/>
      <c r="H31" s="16"/>
    </row>
  </sheetData>
  <mergeCells count="9">
    <mergeCell ref="A1:H1"/>
    <mergeCell ref="A27:H27"/>
    <mergeCell ref="A31:H31"/>
    <mergeCell ref="A26:H26"/>
    <mergeCell ref="A30:H30"/>
    <mergeCell ref="A29:H29"/>
    <mergeCell ref="A24:H24"/>
    <mergeCell ref="A2:H2"/>
    <mergeCell ref="A28:H28"/>
  </mergeCells>
  <dataValidations count="2">
    <dataValidation type="whole" showErrorMessage="1" errorTitle="Check the input" error="Enter a value between 2 and 1000000." sqref="B5" xr:uid="{00000000-0002-0000-0500-000000000000}">
      <formula1>2</formula1>
      <formula2>1000000</formula2>
    </dataValidation>
    <dataValidation type="whole" showErrorMessage="1" errorTitle="Check the input" error="Enter a value between 0 and 1000000." sqref="B6" xr:uid="{00000000-0002-0000-0500-000001000000}">
      <formula1>0</formula1>
      <formula2>1000000</formula2>
    </dataValidation>
  </dataValidations>
  <pageMargins left="0.3" right="0.3" top="0.5" bottom="0.5" header="0.2" footer="0.2"/>
  <pageSetup paperSize="9" fitToHeight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39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5" style="6" customWidth="1"/>
    <col min="2" max="3" width="27" style="6" customWidth="1"/>
    <col min="4" max="4" width="20" style="6" customWidth="1"/>
    <col min="5" max="8" width="3" style="6" customWidth="1"/>
  </cols>
  <sheetData>
    <row r="1" spans="1:8" ht="30" customHeight="1" x14ac:dyDescent="0.3">
      <c r="A1" s="19" t="s">
        <v>159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160</v>
      </c>
      <c r="B4" s="1" t="s">
        <v>161</v>
      </c>
      <c r="C4" s="1" t="s">
        <v>162</v>
      </c>
      <c r="D4" s="1"/>
    </row>
    <row r="5" spans="1:8" ht="19.05" customHeight="1" x14ac:dyDescent="0.3">
      <c r="A5" s="4" t="s">
        <v>163</v>
      </c>
      <c r="B5" s="2">
        <v>1000</v>
      </c>
      <c r="C5" s="4">
        <f>B5</f>
        <v>1000</v>
      </c>
    </row>
    <row r="6" spans="1:8" ht="19.05" customHeight="1" x14ac:dyDescent="0.3">
      <c r="A6" s="5" t="s">
        <v>164</v>
      </c>
      <c r="B6" s="10">
        <v>0.1</v>
      </c>
      <c r="C6" s="10">
        <v>0.25</v>
      </c>
    </row>
    <row r="7" spans="1:8" ht="19.05" customHeight="1" x14ac:dyDescent="0.3">
      <c r="A7" s="4" t="s">
        <v>165</v>
      </c>
      <c r="B7" s="9">
        <v>0.8</v>
      </c>
      <c r="C7" s="9">
        <f>B7</f>
        <v>0.8</v>
      </c>
    </row>
    <row r="8" spans="1:8" ht="19.05" customHeight="1" x14ac:dyDescent="0.3">
      <c r="A8" s="5" t="s">
        <v>166</v>
      </c>
      <c r="B8" s="10">
        <v>0.2</v>
      </c>
      <c r="C8" s="10">
        <f>B8</f>
        <v>0.2</v>
      </c>
    </row>
    <row r="11" spans="1:8" ht="22.95" customHeight="1" x14ac:dyDescent="0.3">
      <c r="A11" s="18" t="s">
        <v>167</v>
      </c>
      <c r="B11" s="14"/>
      <c r="C11" s="14"/>
      <c r="D11" s="14"/>
      <c r="E11" s="14"/>
      <c r="F11" s="14"/>
      <c r="G11" s="14"/>
      <c r="H11" s="14"/>
    </row>
    <row r="12" spans="1:8" ht="30" customHeight="1" x14ac:dyDescent="0.3">
      <c r="A12" s="1" t="s">
        <v>168</v>
      </c>
      <c r="B12" s="1" t="s">
        <v>169</v>
      </c>
      <c r="C12" s="1" t="s">
        <v>170</v>
      </c>
      <c r="D12" s="1" t="s">
        <v>72</v>
      </c>
    </row>
    <row r="13" spans="1:8" ht="19.05" customHeight="1" x14ac:dyDescent="0.3">
      <c r="A13" s="4" t="s">
        <v>171</v>
      </c>
      <c r="B13" s="4">
        <f>D13*B7</f>
        <v>80</v>
      </c>
      <c r="C13" s="4">
        <f>D13-B13</f>
        <v>20</v>
      </c>
      <c r="D13" s="4">
        <f>B5*B6</f>
        <v>100</v>
      </c>
    </row>
    <row r="14" spans="1:8" ht="19.05" customHeight="1" x14ac:dyDescent="0.3">
      <c r="A14" s="5" t="s">
        <v>172</v>
      </c>
      <c r="B14" s="5">
        <f>D14*B8</f>
        <v>180</v>
      </c>
      <c r="C14" s="5">
        <f>D14-B14</f>
        <v>720</v>
      </c>
      <c r="D14" s="5">
        <f>B5-D13</f>
        <v>900</v>
      </c>
    </row>
    <row r="15" spans="1:8" ht="19.05" customHeight="1" x14ac:dyDescent="0.3">
      <c r="A15" s="4" t="s">
        <v>72</v>
      </c>
      <c r="B15" s="4">
        <f>SUM(B13:B14)</f>
        <v>260</v>
      </c>
      <c r="C15" s="4">
        <f>SUM(C13:C14)</f>
        <v>740</v>
      </c>
      <c r="D15" s="4">
        <f>SUM(D13:D14)</f>
        <v>1000</v>
      </c>
    </row>
    <row r="18" spans="1:8" ht="22.95" customHeight="1" x14ac:dyDescent="0.3">
      <c r="A18" s="18" t="s">
        <v>173</v>
      </c>
      <c r="B18" s="14"/>
      <c r="C18" s="14"/>
      <c r="D18" s="14"/>
      <c r="E18" s="14"/>
      <c r="F18" s="14"/>
      <c r="G18" s="14"/>
      <c r="H18" s="14"/>
    </row>
    <row r="19" spans="1:8" ht="30" customHeight="1" x14ac:dyDescent="0.3">
      <c r="A19" s="1" t="s">
        <v>168</v>
      </c>
      <c r="B19" s="1" t="s">
        <v>169</v>
      </c>
      <c r="C19" s="1" t="s">
        <v>170</v>
      </c>
      <c r="D19" s="1" t="s">
        <v>72</v>
      </c>
    </row>
    <row r="20" spans="1:8" ht="19.05" customHeight="1" x14ac:dyDescent="0.3">
      <c r="A20" s="4" t="s">
        <v>171</v>
      </c>
      <c r="B20" s="4">
        <f>D20*C7</f>
        <v>200</v>
      </c>
      <c r="C20" s="4">
        <f>D20-B20</f>
        <v>50</v>
      </c>
      <c r="D20" s="4">
        <f>C5*C6</f>
        <v>250</v>
      </c>
    </row>
    <row r="21" spans="1:8" ht="19.05" customHeight="1" x14ac:dyDescent="0.3">
      <c r="A21" s="5" t="s">
        <v>172</v>
      </c>
      <c r="B21" s="5">
        <f>D21*C8</f>
        <v>150</v>
      </c>
      <c r="C21" s="5">
        <f>D21-B21</f>
        <v>600</v>
      </c>
      <c r="D21" s="5">
        <f>C5-D20</f>
        <v>750</v>
      </c>
    </row>
    <row r="22" spans="1:8" ht="19.05" customHeight="1" x14ac:dyDescent="0.3">
      <c r="A22" s="4" t="s">
        <v>72</v>
      </c>
      <c r="B22" s="4">
        <f>SUM(B20:B21)</f>
        <v>350</v>
      </c>
      <c r="C22" s="4">
        <f>SUM(C20:C21)</f>
        <v>650</v>
      </c>
      <c r="D22" s="4">
        <f>SUM(D20:D21)</f>
        <v>1000</v>
      </c>
    </row>
    <row r="25" spans="1:8" ht="30" customHeight="1" x14ac:dyDescent="0.3">
      <c r="A25" s="1" t="s">
        <v>174</v>
      </c>
      <c r="B25" s="1" t="s">
        <v>175</v>
      </c>
      <c r="C25" s="1" t="s">
        <v>176</v>
      </c>
      <c r="D25" s="1"/>
    </row>
    <row r="26" spans="1:8" ht="19.05" customHeight="1" x14ac:dyDescent="0.3">
      <c r="A26" s="4" t="s">
        <v>177</v>
      </c>
      <c r="B26" s="11">
        <f>B13/B15</f>
        <v>0.30769230769230771</v>
      </c>
      <c r="C26" s="11">
        <f>B20/B22</f>
        <v>0.5714285714285714</v>
      </c>
    </row>
    <row r="27" spans="1:8" ht="19.05" customHeight="1" x14ac:dyDescent="0.3">
      <c r="A27" s="5" t="s">
        <v>178</v>
      </c>
      <c r="B27" s="12">
        <f>C13/C15</f>
        <v>2.7027027027027029E-2</v>
      </c>
      <c r="C27" s="12">
        <f>C20/C22</f>
        <v>7.6923076923076927E-2</v>
      </c>
    </row>
    <row r="28" spans="1:8" ht="19.05" customHeight="1" x14ac:dyDescent="0.3">
      <c r="A28" s="4" t="s">
        <v>179</v>
      </c>
      <c r="B28" s="11">
        <f>B6*B7/(B6*B7+(1-B6)*B8)</f>
        <v>0.30769230769230776</v>
      </c>
      <c r="C28" s="11">
        <f>C6*C7/(C6*C7+(1-C6)*C8)</f>
        <v>0.5714285714285714</v>
      </c>
    </row>
    <row r="30" spans="1:8" ht="22.95" customHeight="1" x14ac:dyDescent="0.3">
      <c r="A30" s="18" t="s">
        <v>180</v>
      </c>
      <c r="B30" s="14"/>
      <c r="C30" s="14"/>
      <c r="D30" s="14"/>
      <c r="E30" s="14"/>
      <c r="F30" s="14"/>
      <c r="G30" s="14"/>
      <c r="H30" s="14"/>
    </row>
    <row r="31" spans="1:8" ht="22.95" customHeight="1" x14ac:dyDescent="0.3">
      <c r="A31" s="18" t="s">
        <v>181</v>
      </c>
      <c r="B31" s="14"/>
      <c r="C31" s="14"/>
      <c r="D31" s="14"/>
      <c r="E31" s="14"/>
      <c r="F31" s="14"/>
      <c r="G31" s="14"/>
      <c r="H31" s="14"/>
    </row>
    <row r="33" spans="1:8" ht="22.05" customHeight="1" x14ac:dyDescent="0.3">
      <c r="A33" s="13" t="s">
        <v>13</v>
      </c>
      <c r="B33" s="14"/>
      <c r="C33" s="14"/>
      <c r="D33" s="14"/>
      <c r="E33" s="14"/>
      <c r="F33" s="14"/>
      <c r="G33" s="14"/>
      <c r="H33" s="14"/>
    </row>
    <row r="34" spans="1:8" ht="22.95" customHeight="1" x14ac:dyDescent="0.3">
      <c r="A34" s="17" t="s">
        <v>182</v>
      </c>
      <c r="B34" s="14"/>
      <c r="C34" s="14"/>
      <c r="D34" s="14"/>
      <c r="E34" s="14"/>
      <c r="F34" s="14"/>
      <c r="G34" s="14"/>
      <c r="H34" s="16"/>
    </row>
    <row r="35" spans="1:8" ht="22.95" customHeight="1" x14ac:dyDescent="0.3">
      <c r="A35" s="15" t="s">
        <v>183</v>
      </c>
      <c r="B35" s="14"/>
      <c r="C35" s="14"/>
      <c r="D35" s="14"/>
      <c r="E35" s="14"/>
      <c r="F35" s="14"/>
      <c r="G35" s="14"/>
      <c r="H35" s="16"/>
    </row>
    <row r="36" spans="1:8" ht="22.95" customHeight="1" x14ac:dyDescent="0.3">
      <c r="A36" s="17" t="s">
        <v>184</v>
      </c>
      <c r="B36" s="14"/>
      <c r="C36" s="14"/>
      <c r="D36" s="14"/>
      <c r="E36" s="14"/>
      <c r="F36" s="14"/>
      <c r="G36" s="14"/>
      <c r="H36" s="16"/>
    </row>
    <row r="37" spans="1:8" ht="22.95" customHeight="1" x14ac:dyDescent="0.3">
      <c r="A37" s="15" t="s">
        <v>185</v>
      </c>
      <c r="B37" s="14"/>
      <c r="C37" s="14"/>
      <c r="D37" s="14"/>
      <c r="E37" s="14"/>
      <c r="F37" s="14"/>
      <c r="G37" s="14"/>
      <c r="H37" s="16"/>
    </row>
    <row r="38" spans="1:8" ht="36" customHeight="1" x14ac:dyDescent="0.3">
      <c r="A38" s="17" t="s">
        <v>186</v>
      </c>
      <c r="B38" s="14"/>
      <c r="C38" s="14"/>
      <c r="D38" s="14"/>
      <c r="E38" s="14"/>
      <c r="F38" s="14"/>
      <c r="G38" s="14"/>
      <c r="H38" s="16"/>
    </row>
    <row r="39" spans="1:8" ht="22.95" customHeight="1" x14ac:dyDescent="0.3">
      <c r="A39" s="15" t="s">
        <v>187</v>
      </c>
      <c r="B39" s="14"/>
      <c r="C39" s="14"/>
      <c r="D39" s="14"/>
      <c r="E39" s="14"/>
      <c r="F39" s="14"/>
      <c r="G39" s="14"/>
      <c r="H39" s="16"/>
    </row>
  </sheetData>
  <mergeCells count="13">
    <mergeCell ref="A2:H2"/>
    <mergeCell ref="A33:H33"/>
    <mergeCell ref="A11:H11"/>
    <mergeCell ref="A36:H36"/>
    <mergeCell ref="A1:H1"/>
    <mergeCell ref="A31:H31"/>
    <mergeCell ref="A34:H34"/>
    <mergeCell ref="A18:H18"/>
    <mergeCell ref="A30:H30"/>
    <mergeCell ref="A39:H39"/>
    <mergeCell ref="A35:H35"/>
    <mergeCell ref="A38:H38"/>
    <mergeCell ref="A37:H37"/>
  </mergeCells>
  <dataValidations count="3">
    <dataValidation type="whole" showErrorMessage="1" errorTitle="Check the input" error="Enter a value between 1 and 1000000." sqref="B5" xr:uid="{00000000-0002-0000-0600-000000000000}">
      <formula1>1</formula1>
      <formula2>1000000</formula2>
    </dataValidation>
    <dataValidation type="decimal" showErrorMessage="1" errorTitle="Check the input" error="Enter a value between 0 and 1." sqref="B6:C6" xr:uid="{00000000-0002-0000-0600-000001000000}">
      <formula1>0</formula1>
      <formula2>1</formula2>
    </dataValidation>
    <dataValidation type="decimal" showErrorMessage="1" errorTitle="Check the input" error="Enter a value between 0.001 and 0.999." sqref="B7:B8" xr:uid="{00000000-0002-0000-0600-000002000000}">
      <formula1>0.001</formula1>
      <formula2>0.999</formula2>
    </dataValidation>
  </dataValidations>
  <pageMargins left="0.3" right="0.3" top="0.5" bottom="0.5" header="0.2" footer="0.2"/>
  <pageSetup paperSize="9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21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8" style="6" customWidth="1"/>
    <col min="2" max="3" width="23" style="6" customWidth="1"/>
    <col min="4" max="5" width="25" style="6" customWidth="1"/>
    <col min="6" max="8" width="3" style="6" customWidth="1"/>
  </cols>
  <sheetData>
    <row r="1" spans="1:8" ht="30" customHeight="1" x14ac:dyDescent="0.3">
      <c r="A1" s="19" t="s">
        <v>188</v>
      </c>
      <c r="B1" s="14"/>
      <c r="C1" s="14"/>
      <c r="D1" s="14"/>
      <c r="E1" s="14"/>
      <c r="F1" s="14"/>
      <c r="G1" s="14"/>
      <c r="H1" s="14"/>
    </row>
    <row r="2" spans="1:8" ht="22.95" customHeight="1" x14ac:dyDescent="0.3">
      <c r="A2" s="18" t="s">
        <v>1</v>
      </c>
      <c r="B2" s="14"/>
      <c r="C2" s="14"/>
      <c r="D2" s="14"/>
      <c r="E2" s="14"/>
      <c r="F2" s="14"/>
      <c r="G2" s="14"/>
      <c r="H2" s="14"/>
    </row>
    <row r="4" spans="1:8" ht="30" customHeight="1" x14ac:dyDescent="0.3">
      <c r="A4" s="1" t="s">
        <v>189</v>
      </c>
      <c r="B4" s="1" t="s">
        <v>190</v>
      </c>
      <c r="C4" s="1" t="s">
        <v>191</v>
      </c>
      <c r="D4" s="1" t="s">
        <v>192</v>
      </c>
      <c r="E4" s="1" t="s">
        <v>193</v>
      </c>
    </row>
    <row r="5" spans="1:8" ht="19.05" customHeight="1" x14ac:dyDescent="0.3">
      <c r="A5" s="4" t="s">
        <v>194</v>
      </c>
      <c r="B5" s="9">
        <v>0.5</v>
      </c>
      <c r="C5" s="9">
        <v>0.04</v>
      </c>
      <c r="D5" s="11">
        <f>B5*C5</f>
        <v>0.02</v>
      </c>
      <c r="E5" s="11">
        <f>D5/$D$8</f>
        <v>0.34482758620689652</v>
      </c>
    </row>
    <row r="6" spans="1:8" ht="19.05" customHeight="1" x14ac:dyDescent="0.3">
      <c r="A6" s="5" t="s">
        <v>195</v>
      </c>
      <c r="B6" s="10">
        <v>0.3</v>
      </c>
      <c r="C6" s="10">
        <v>0.06</v>
      </c>
      <c r="D6" s="12">
        <f>B6*C6</f>
        <v>1.7999999999999999E-2</v>
      </c>
      <c r="E6" s="12">
        <f>D6/$D$8</f>
        <v>0.31034482758620685</v>
      </c>
    </row>
    <row r="7" spans="1:8" ht="19.05" customHeight="1" x14ac:dyDescent="0.3">
      <c r="A7" s="4" t="s">
        <v>196</v>
      </c>
      <c r="B7" s="9">
        <v>0.2</v>
      </c>
      <c r="C7" s="9">
        <v>0.1</v>
      </c>
      <c r="D7" s="11">
        <f>B7*C7</f>
        <v>2.0000000000000004E-2</v>
      </c>
      <c r="E7" s="11">
        <f>D7/$D$8</f>
        <v>0.34482758620689657</v>
      </c>
    </row>
    <row r="8" spans="1:8" ht="19.05" customHeight="1" x14ac:dyDescent="0.3">
      <c r="A8" s="5" t="s">
        <v>72</v>
      </c>
      <c r="B8" s="10">
        <f>SUM(B5:B7)</f>
        <v>1</v>
      </c>
      <c r="D8" s="12">
        <f>SUM(D5:D7)</f>
        <v>5.8000000000000003E-2</v>
      </c>
      <c r="E8" s="12">
        <f>SUM(E5:E7)</f>
        <v>1</v>
      </c>
    </row>
    <row r="10" spans="1:8" ht="22.95" customHeight="1" x14ac:dyDescent="0.3">
      <c r="A10" s="18" t="s">
        <v>197</v>
      </c>
      <c r="B10" s="14"/>
      <c r="C10" s="14"/>
      <c r="D10" s="14"/>
      <c r="E10" s="14"/>
      <c r="F10" s="14"/>
      <c r="G10" s="14"/>
      <c r="H10" s="14"/>
    </row>
    <row r="12" spans="1:8" ht="36" customHeight="1" x14ac:dyDescent="0.3">
      <c r="A12" s="18" t="s">
        <v>198</v>
      </c>
      <c r="B12" s="14"/>
      <c r="C12" s="14"/>
      <c r="D12" s="14"/>
      <c r="E12" s="14"/>
      <c r="F12" s="14"/>
      <c r="G12" s="14"/>
      <c r="H12" s="14"/>
    </row>
    <row r="15" spans="1:8" ht="22.05" customHeight="1" x14ac:dyDescent="0.3">
      <c r="A15" s="13" t="s">
        <v>13</v>
      </c>
      <c r="B15" s="14"/>
      <c r="C15" s="14"/>
      <c r="D15" s="14"/>
      <c r="E15" s="14"/>
      <c r="F15" s="14"/>
      <c r="G15" s="14"/>
      <c r="H15" s="14"/>
    </row>
    <row r="16" spans="1:8" ht="22.95" customHeight="1" x14ac:dyDescent="0.3">
      <c r="A16" s="17" t="s">
        <v>199</v>
      </c>
      <c r="B16" s="14"/>
      <c r="C16" s="14"/>
      <c r="D16" s="14"/>
      <c r="E16" s="14"/>
      <c r="F16" s="14"/>
      <c r="G16" s="14"/>
      <c r="H16" s="16"/>
    </row>
    <row r="17" spans="1:8" ht="22.95" customHeight="1" x14ac:dyDescent="0.3">
      <c r="A17" s="15" t="s">
        <v>200</v>
      </c>
      <c r="B17" s="14"/>
      <c r="C17" s="14"/>
      <c r="D17" s="14"/>
      <c r="E17" s="14"/>
      <c r="F17" s="14"/>
      <c r="G17" s="14"/>
      <c r="H17" s="16"/>
    </row>
    <row r="18" spans="1:8" ht="22.95" customHeight="1" x14ac:dyDescent="0.3">
      <c r="A18" s="17" t="s">
        <v>201</v>
      </c>
      <c r="B18" s="14"/>
      <c r="C18" s="14"/>
      <c r="D18" s="14"/>
      <c r="E18" s="14"/>
      <c r="F18" s="14"/>
      <c r="G18" s="14"/>
      <c r="H18" s="16"/>
    </row>
    <row r="19" spans="1:8" ht="22.95" customHeight="1" x14ac:dyDescent="0.3">
      <c r="A19" s="15" t="s">
        <v>202</v>
      </c>
      <c r="B19" s="14"/>
      <c r="C19" s="14"/>
      <c r="D19" s="14"/>
      <c r="E19" s="14"/>
      <c r="F19" s="14"/>
      <c r="G19" s="14"/>
      <c r="H19" s="16"/>
    </row>
    <row r="20" spans="1:8" ht="22.95" customHeight="1" x14ac:dyDescent="0.3">
      <c r="A20" s="17" t="s">
        <v>203</v>
      </c>
      <c r="B20" s="14"/>
      <c r="C20" s="14"/>
      <c r="D20" s="14"/>
      <c r="E20" s="14"/>
      <c r="F20" s="14"/>
      <c r="G20" s="14"/>
      <c r="H20" s="16"/>
    </row>
    <row r="21" spans="1:8" ht="22.95" customHeight="1" x14ac:dyDescent="0.3">
      <c r="A21" s="15" t="s">
        <v>204</v>
      </c>
      <c r="B21" s="14"/>
      <c r="C21" s="14"/>
      <c r="D21" s="14"/>
      <c r="E21" s="14"/>
      <c r="F21" s="14"/>
      <c r="G21" s="14"/>
      <c r="H21" s="16"/>
    </row>
  </sheetData>
  <mergeCells count="11">
    <mergeCell ref="A2:H2"/>
    <mergeCell ref="A16:H16"/>
    <mergeCell ref="A10:H10"/>
    <mergeCell ref="A19:H19"/>
    <mergeCell ref="A1:H1"/>
    <mergeCell ref="A17:H17"/>
    <mergeCell ref="A12:H12"/>
    <mergeCell ref="A18:H18"/>
    <mergeCell ref="A21:H21"/>
    <mergeCell ref="A15:H15"/>
    <mergeCell ref="A20:H20"/>
  </mergeCells>
  <dataValidations count="1">
    <dataValidation type="decimal" showErrorMessage="1" errorTitle="Check the input" error="Enter a value between 0 and 1." sqref="B5:C7" xr:uid="{00000000-0002-0000-0700-000000000000}">
      <formula1>0</formula1>
      <formula2>1</formula2>
    </dataValidation>
  </dataValidations>
  <pageMargins left="0.3" right="0.3" top="0.5" bottom="0.5" header="0.2" footer="0.2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01 Project Duration</vt:lpstr>
      <vt:lpstr>02 Investment Outcomes</vt:lpstr>
      <vt:lpstr>03 Permutations Combinations</vt:lpstr>
      <vt:lpstr>04 Tablet Selection</vt:lpstr>
      <vt:lpstr>05 Orders</vt:lpstr>
      <vt:lpstr>06 Invoice Draws</vt:lpstr>
      <vt:lpstr>07 Inspection</vt:lpstr>
      <vt:lpstr>08 Three Warehouses</vt:lpstr>
      <vt:lpstr>'01 Project Duration'!Print_Area</vt:lpstr>
      <vt:lpstr>'02 Investment Outcomes'!Print_Area</vt:lpstr>
      <vt:lpstr>'03 Permutations Combinations'!Print_Area</vt:lpstr>
      <vt:lpstr>'04 Tablet Selection'!Print_Area</vt:lpstr>
      <vt:lpstr>'05 Orders'!Print_Area</vt:lpstr>
      <vt:lpstr>'06 Invoice Draws'!Print_Area</vt:lpstr>
      <vt:lpstr>'07 Inspection'!Print_Area</vt:lpstr>
      <vt:lpstr>'08 Three Warehouses'!Print_Area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C</cp:lastModifiedBy>
  <dcterms:created xsi:type="dcterms:W3CDTF">2026-10-01T07:39:07Z</dcterms:created>
  <dcterms:modified xsi:type="dcterms:W3CDTF">2026-10-01T07:39:15Z</dcterms:modified>
</cp:coreProperties>
</file>